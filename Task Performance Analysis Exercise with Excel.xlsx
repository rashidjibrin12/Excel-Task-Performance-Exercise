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drawings/drawing1.xml" ContentType="application/vnd.openxmlformats-officedocument.drawing+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sharedStrings.xml" ContentType="application/vnd.openxmlformats-officedocument.spreadsheetml.sharedString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s/slicer1.xml" ContentType="application/vnd.ms-excel.slicer+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theme/themeOverride1.xml" ContentType="application/vnd.openxmlformats-officedocument.themeOverrid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2" windowHeight="6892" activeTab="1"/>
  </bookViews>
  <sheets>
    <sheet name="Task Management Tabular Data" sheetId="1" r:id="rId1"/>
    <sheet name="Task Management Dashboard" sheetId="2" r:id="rId2"/>
  </sheets>
  <definedNames>
    <definedName name="Slicer_Status">#N/A</definedName>
    <definedName name="Slicer_Assigned_To">#N/A</definedName>
    <definedName name="Slicer_Department">#N/A</definedName>
  </definedNames>
  <calcPr calcId="191029"/>
  <pivotCaches>
    <pivotCache cacheId="0" r:id="rId3"/>
  </pivotCaches>
  <extLst>
    <ext xmlns:x15="http://schemas.microsoft.com/office/spreadsheetml/2010/11/main" uri="{46BE6895-7355-4a93-B00E-2C351335B9C9}">
      <x15:slicerCaches xmlns:x14="http://schemas.microsoft.com/office/spreadsheetml/2009/9/main">
        <x14:slicerCache r:id="rId6"/>
        <x14:slicerCache r:id="rId5"/>
        <x14:slicerCache r:id="rId4"/>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<sst xmlns="http://schemas.openxmlformats.org/spreadsheetml/2006/main" count="98" uniqueCount="59">
  <si>
    <t>SUMMARY</t>
  </si>
  <si>
    <t>Completed Tasks Count</t>
  </si>
  <si>
    <t>Average Completion</t>
  </si>
  <si>
    <t>Department</t>
  </si>
  <si>
    <t>Task</t>
  </si>
  <si>
    <t>Assigned To</t>
  </si>
  <si>
    <t>Year</t>
  </si>
  <si>
    <t>Start Date</t>
  </si>
  <si>
    <t>Year Due</t>
  </si>
  <si>
    <t>Due Date</t>
  </si>
  <si>
    <t>Status</t>
  </si>
  <si>
    <t>Priority</t>
  </si>
  <si>
    <t>Hours Spent</t>
  </si>
  <si>
    <t>Budget ($)</t>
  </si>
  <si>
    <t>Completion %</t>
  </si>
  <si>
    <t>Days Remaining</t>
  </si>
  <si>
    <t>Over-Budget Flag</t>
  </si>
  <si>
    <t>Task Duration</t>
  </si>
  <si>
    <t>Finance</t>
  </si>
  <si>
    <t>Prepare Q2 Report</t>
  </si>
  <si>
    <t>Ahmed</t>
  </si>
  <si>
    <t>2026‑06‑01</t>
  </si>
  <si>
    <t>2026‑06‑14</t>
  </si>
  <si>
    <t>In Progress</t>
  </si>
  <si>
    <t>High</t>
  </si>
  <si>
    <t>HR</t>
  </si>
  <si>
    <t>Update Employee Records</t>
  </si>
  <si>
    <t>Sarah</t>
  </si>
  <si>
    <t>2026‑06‑03</t>
  </si>
  <si>
    <t>2026‑06‑10</t>
  </si>
  <si>
    <t>Completed</t>
  </si>
  <si>
    <t>Medium</t>
  </si>
  <si>
    <t>IT</t>
  </si>
  <si>
    <t>System Maintenance</t>
  </si>
  <si>
    <t>John</t>
  </si>
  <si>
    <t>2026‑06‑05</t>
  </si>
  <si>
    <t>2026‑06‑20</t>
  </si>
  <si>
    <t>Delayed</t>
  </si>
  <si>
    <t>Admin</t>
  </si>
  <si>
    <t>Office Supply Audit</t>
  </si>
  <si>
    <t>Fatima</t>
  </si>
  <si>
    <t>2026‑06‑02</t>
  </si>
  <si>
    <t>2026‑06‑07</t>
  </si>
  <si>
    <t>Low</t>
  </si>
  <si>
    <t>Budget Forecasting</t>
  </si>
  <si>
    <t>2026‑06‑25</t>
  </si>
  <si>
    <t>Training Session Prep</t>
  </si>
  <si>
    <t>2026‑06‑12</t>
  </si>
  <si>
    <t>2026‑06‑18</t>
  </si>
  <si>
    <t>Not Started</t>
  </si>
  <si>
    <t>Software Updates</t>
  </si>
  <si>
    <t>2026‑06‑15</t>
  </si>
  <si>
    <t>2026‑06‑30</t>
  </si>
  <si>
    <t>Meeting Coordination</t>
  </si>
  <si>
    <t>Count of Status</t>
  </si>
  <si>
    <t>Sum of Hours Spent</t>
  </si>
  <si>
    <t>Sum of Budget ($)</t>
  </si>
  <si>
    <t>Grand Total</t>
  </si>
  <si>
    <t>Across the Finance, HR, IT, and Administrative departments, a total of eight operational tasks were monitored to assess progress, workload distribution, and overall performance. The data shows a balanced mix of completed work, ongoing initiatives, and areas requiring attention. Four tasks were fully completed, demonstrating strong execution within the HR and Administrative units. These completed tasks include employee record updates, office supply auditing, and meeting coordination, all of which reached 100% completion with efficient use of time and budget.
Three tasks are currently in progress, primarily within the Finance and IT departments. These include the preparation of the Q2 financial report, budget forecasting, and software updates. Progress levels range from 20% to 65%, indicating steady advancement but also highlighting the need for continued focus to meet upcoming deadlines. One task: system maintenance within IT, is marked as delayed, with only 40% completion. This delay suggests potential resource constraints or technical challenges that may require managerial intervention.
The HR department has one task that has not yet started: preparation for an upcoming training session. This item represents an opportunity for early action to avoid future bottlenecks. In total, 51 hours of work have been logged across all departments, with a combined budget allocation of $23,700. The overall completion rate across all tasks stands at approximately 59%, reflecting moderate progress toward departmental goals.
Finance remains heavily engaged with two major ongoing tasks, while HR shows mixed progress with one completed and one pending. IT displays the most variability, with one delayed task and one in progress. The Administrative department demonstrates strong performance, having completed all assigned tasks. Overall, the dataset reflects a productive workflow with clear indicators of where attention and resources should be directed next.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</si>
</sst>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0_-;\-* #,##0_-;_-* &quot;-&quot;_-;_-@_-"/>
    <numFmt numFmtId="43" formatCode="_-* #,##0.00_-;\-* #,##0.00_-;_-* &quot;-&quot;??_-;_-@_-"/>
    <numFmt numFmtId="176" formatCode="_-&quot;$&quot;* #,##0.00_-;\-&quot;$&quot;* #,##0.00_-;_-&quot;$&quot;* \-??_-;_-@_-"/>
    <numFmt numFmtId="177" formatCode="_-&quot;$&quot;* #,##0_-;\-&quot;$&quot;* #,##0_-;_-&quot;$&quot;* &quot;-&quot;_-;_-@_-"/>
    <numFmt numFmtId="178" formatCode="yyyy/mm/dd;@"/>
  </numFmts>
  <fonts count="28">
    <font>
      <sz val="11"/>
      <color theme="1"/>
      <name val="Calibri"/>
      <charset val="134"/>
      <scheme val="minor"/>
    </font>
    <font>
      <b/>
      <u/>
      <sz val="18"/>
      <color theme="1"/>
      <name val="Calibri"/>
      <charset val="134"/>
      <scheme val="minor"/>
    </font>
    <font>
      <b/>
      <sz val="16"/>
      <color theme="1"/>
      <name val="Calibri"/>
      <charset val="134"/>
      <scheme val="minor"/>
    </font>
    <font>
      <b/>
      <sz val="16"/>
      <color theme="1"/>
      <name val="Arial Unicode MS"/>
      <charset val="134"/>
    </font>
    <font>
      <b/>
      <sz val="16"/>
      <color theme="1"/>
      <name val="Calibri"/>
      <charset val="134"/>
    </font>
    <font>
      <b/>
      <sz val="11"/>
      <color theme="1"/>
      <name val="Calibri"/>
      <charset val="134"/>
      <scheme val="minor"/>
    </font>
    <font>
      <sz val="10"/>
      <color theme="1"/>
      <name val="Arial Unicode MS"/>
      <charset val="134"/>
    </font>
    <font>
      <b/>
      <sz val="10"/>
      <color theme="1"/>
      <name val="Arial Unicode MS"/>
      <charset val="134"/>
    </font>
    <font>
      <sz val="16"/>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theme="2" tint="-0.1"/>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177"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3" borderId="9"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0" applyNumberFormat="0" applyFill="0" applyAlignment="0" applyProtection="0">
      <alignment vertical="center"/>
    </xf>
    <xf numFmtId="0" fontId="15" fillId="0" borderId="10" applyNumberFormat="0" applyFill="0" applyAlignment="0" applyProtection="0">
      <alignment vertical="center"/>
    </xf>
    <xf numFmtId="0" fontId="16" fillId="0" borderId="11" applyNumberFormat="0" applyFill="0" applyAlignment="0" applyProtection="0">
      <alignment vertical="center"/>
    </xf>
    <xf numFmtId="0" fontId="16" fillId="0" borderId="0" applyNumberFormat="0" applyFill="0" applyBorder="0" applyAlignment="0" applyProtection="0">
      <alignment vertical="center"/>
    </xf>
    <xf numFmtId="0" fontId="17" fillId="4" borderId="12" applyNumberFormat="0" applyAlignment="0" applyProtection="0">
      <alignment vertical="center"/>
    </xf>
    <xf numFmtId="0" fontId="18" fillId="5" borderId="13" applyNumberFormat="0" applyAlignment="0" applyProtection="0">
      <alignment vertical="center"/>
    </xf>
    <xf numFmtId="0" fontId="19" fillId="5" borderId="12" applyNumberFormat="0" applyAlignment="0" applyProtection="0">
      <alignment vertical="center"/>
    </xf>
    <xf numFmtId="0" fontId="20" fillId="6" borderId="14" applyNumberFormat="0" applyAlignment="0" applyProtection="0">
      <alignment vertical="center"/>
    </xf>
    <xf numFmtId="0" fontId="21" fillId="0" borderId="15" applyNumberFormat="0" applyFill="0" applyAlignment="0" applyProtection="0">
      <alignment vertical="center"/>
    </xf>
    <xf numFmtId="0" fontId="22" fillId="0" borderId="16" applyNumberFormat="0" applyFill="0" applyAlignment="0" applyProtection="0">
      <alignment vertical="center"/>
    </xf>
    <xf numFmtId="0" fontId="23" fillId="7" borderId="0" applyNumberFormat="0" applyBorder="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7" fillId="12" borderId="0" applyNumberFormat="0" applyBorder="0" applyAlignment="0" applyProtection="0">
      <alignment vertical="center"/>
    </xf>
    <xf numFmtId="0" fontId="26"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7"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7" fillId="19" borderId="0" applyNumberFormat="0" applyBorder="0" applyAlignment="0" applyProtection="0">
      <alignment vertical="center"/>
    </xf>
    <xf numFmtId="0" fontId="27"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7" fillId="23" borderId="0" applyNumberFormat="0" applyBorder="0" applyAlignment="0" applyProtection="0">
      <alignment vertical="center"/>
    </xf>
    <xf numFmtId="0" fontId="27"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7" fillId="27" borderId="0" applyNumberFormat="0" applyBorder="0" applyAlignment="0" applyProtection="0">
      <alignment vertical="center"/>
    </xf>
    <xf numFmtId="0" fontId="27"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7" fillId="31" borderId="0" applyNumberFormat="0" applyBorder="0" applyAlignment="0" applyProtection="0">
      <alignment vertical="center"/>
    </xf>
    <xf numFmtId="0" fontId="27" fillId="32" borderId="0" applyNumberFormat="0" applyBorder="0" applyAlignment="0" applyProtection="0">
      <alignment vertical="center"/>
    </xf>
    <xf numFmtId="0" fontId="26" fillId="33" borderId="0" applyNumberFormat="0" applyBorder="0" applyAlignment="0" applyProtection="0">
      <alignment vertical="center"/>
    </xf>
  </cellStyleXfs>
  <cellXfs count="29">
    <xf numFmtId="0" fontId="0" fillId="0" borderId="0" xfId="0">
      <alignment vertical="center"/>
    </xf>
    <xf numFmtId="9" fontId="0" fillId="0" borderId="0" xfId="3">
      <alignment vertical="center"/>
    </xf>
    <xf numFmtId="178" fontId="0" fillId="0" borderId="0" xfId="0" applyNumberFormat="1">
      <alignment vertical="center"/>
    </xf>
    <xf numFmtId="0" fontId="1" fillId="2" borderId="1" xfId="0" applyFont="1" applyFill="1" applyBorder="1">
      <alignment vertical="center"/>
    </xf>
    <xf numFmtId="0" fontId="0" fillId="2" borderId="2" xfId="0" applyFill="1" applyBorder="1">
      <alignment vertical="center"/>
    </xf>
    <xf numFmtId="178" fontId="0" fillId="2" borderId="3" xfId="0" applyNumberFormat="1" applyFill="1" applyBorder="1">
      <alignment vertical="center"/>
    </xf>
    <xf numFmtId="0" fontId="2" fillId="2" borderId="4" xfId="0" applyFont="1" applyFill="1" applyBorder="1">
      <alignment vertical="center"/>
    </xf>
    <xf numFmtId="0" fontId="2" fillId="2" borderId="0" xfId="0" applyFont="1" applyFill="1">
      <alignment vertical="center"/>
    </xf>
    <xf numFmtId="0" fontId="3" fillId="2" borderId="0" xfId="0" applyFont="1" applyFill="1">
      <alignment vertical="center"/>
    </xf>
    <xf numFmtId="0" fontId="4" fillId="2" borderId="5" xfId="0" applyFont="1" applyFill="1" applyBorder="1" applyAlignment="1">
      <alignment horizontal="center" vertical="center"/>
    </xf>
    <xf numFmtId="58" fontId="0" fillId="0" borderId="0" xfId="0" applyNumberFormat="1" applyAlignment="1">
      <alignment vertical="center" wrapText="1"/>
    </xf>
    <xf numFmtId="0" fontId="2" fillId="2" borderId="6" xfId="0" applyFont="1" applyFill="1" applyBorder="1">
      <alignment vertical="center"/>
    </xf>
    <xf numFmtId="0" fontId="2" fillId="2" borderId="7" xfId="0" applyFont="1" applyFill="1" applyBorder="1">
      <alignment vertical="center"/>
    </xf>
    <xf numFmtId="10" fontId="3" fillId="2" borderId="7" xfId="3" applyNumberFormat="1" applyFont="1" applyFill="1" applyBorder="1">
      <alignment vertical="center"/>
    </xf>
    <xf numFmtId="10" fontId="2" fillId="2" borderId="8" xfId="3" applyNumberFormat="1" applyFont="1" applyFill="1" applyBorder="1" applyAlignment="1">
      <alignment horizontal="center" vertical="center"/>
    </xf>
    <xf numFmtId="0" fontId="5" fillId="0" borderId="0" xfId="0" applyFont="1" applyAlignment="1">
      <alignment horizontal="center" vertical="center" wrapText="1"/>
    </xf>
    <xf numFmtId="178" fontId="5" fillId="0" borderId="0" xfId="0" applyNumberFormat="1" applyFont="1" applyAlignment="1">
      <alignment horizontal="center" vertical="center" wrapText="1"/>
    </xf>
    <xf numFmtId="0" fontId="0" fillId="0" borderId="0" xfId="0" applyAlignment="1">
      <alignment vertical="center" wrapText="1"/>
    </xf>
    <xf numFmtId="178" fontId="0" fillId="0" borderId="0" xfId="0" applyNumberFormat="1" applyAlignment="1">
      <alignment vertical="center" wrapText="1"/>
    </xf>
    <xf numFmtId="0" fontId="0" fillId="0" borderId="0" xfId="0" applyAlignment="1">
      <alignment horizontal="center" vertical="center" wrapText="1"/>
    </xf>
    <xf numFmtId="3" fontId="0" fillId="0" borderId="0" xfId="0" applyNumberFormat="1" applyAlignment="1">
      <alignment horizontal="center" vertical="center" wrapText="1"/>
    </xf>
    <xf numFmtId="9" fontId="0" fillId="0" borderId="0" xfId="0" applyNumberFormat="1" applyAlignment="1">
      <alignment horizontal="center" vertical="center" wrapText="1"/>
    </xf>
    <xf numFmtId="0" fontId="6" fillId="0" borderId="0" xfId="0" applyNumberFormat="1" applyFont="1" applyAlignment="1">
      <alignment horizontal="center" vertical="center"/>
    </xf>
    <xf numFmtId="0" fontId="6" fillId="0" borderId="0" xfId="0" applyNumberFormat="1" applyFont="1" applyAlignment="1">
      <alignment horizontal="center" vertical="center" wrapText="1"/>
    </xf>
    <xf numFmtId="0" fontId="7" fillId="0" borderId="0" xfId="0" applyNumberFormat="1" applyFont="1" applyAlignment="1">
      <alignment horizontal="center" vertical="center"/>
    </xf>
    <xf numFmtId="0" fontId="6" fillId="0" borderId="0" xfId="0" applyFont="1">
      <alignment vertical="center"/>
    </xf>
    <xf numFmtId="0" fontId="0" fillId="0" borderId="0" xfId="0" applyNumberFormat="1" applyAlignment="1">
      <alignment horizontal="center" vertical="center"/>
    </xf>
    <xf numFmtId="0" fontId="1" fillId="0" borderId="0" xfId="0" applyFont="1" applyAlignment="1">
      <alignment vertical="center"/>
    </xf>
    <xf numFmtId="0" fontId="8" fillId="0" borderId="0" xfId="0" applyFont="1" applyAlignment="1">
      <alignmen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9">
    <dxf>
      <font>
        <b val="1"/>
      </font>
      <alignment horizontal="center" wrapText="1"/>
    </dxf>
    <dxf>
      <alignment wrapText="1"/>
    </dxf>
    <dxf>
      <alignment wrapText="1"/>
    </dxf>
    <dxf>
      <alignment wrapText="1"/>
    </dxf>
    <dxf>
      <numFmt numFmtId="58" formatCode="dd/mm/yyyy"/>
    </dxf>
    <dxf>
      <alignment wrapText="1"/>
    </dxf>
    <dxf>
      <numFmt numFmtId="178" formatCode="yyyy/mm/dd;@"/>
    </dxf>
    <dxf>
      <alignment wrapText="1"/>
    </dxf>
    <dxf>
      <alignment wrapText="1"/>
    </dxf>
    <dxf>
      <alignment horizontal="center" wrapText="1"/>
    </dxf>
    <dxf>
      <alignment horizontal="center"/>
    </dxf>
    <dxf>
      <numFmt numFmtId="9" formatCode="0%"/>
      <alignment horizontal="center" wrapText="1"/>
    </dxf>
    <dxf>
      <numFmt numFmtId="0" formatCode="General"/>
      <alignment horizontal="center"/>
    </dxf>
    <dxf>
      <numFmt numFmtId="0" formatCode="General"/>
      <alignment horizontal="center"/>
    </dxf>
    <dxf>
      <numFmt numFmtId="0" formatCode="General"/>
      <alignment horizontal="center"/>
    </dxf>
    <dxf>
      <fill>
        <patternFill patternType="solid">
          <bgColor theme="0" tint="-0.5"/>
        </patternFill>
      </fill>
    </dxf>
    <dxf>
      <fill>
        <patternFill patternType="solid">
          <bgColor rgb="FFFFFF00"/>
        </patternFill>
      </fill>
    </dxf>
    <dxf>
      <fill>
        <patternFill patternType="solid">
          <bgColor theme="9"/>
        </patternFill>
      </fill>
    </dxf>
    <dxf>
      <fill>
        <patternFill patternType="solid">
          <bgColor theme="7"/>
        </patternFill>
      </fill>
    </dxf>
    <dxf>
      <font>
        <color rgb="FF00B0F0"/>
      </font>
    </dxf>
    <dxf>
      <font>
        <color theme="5"/>
      </font>
    </dxf>
    <dxf>
      <font>
        <color rgb="FFFF0000"/>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28"/>
      <tableStyleElement type="headerRow" dxfId="27"/>
      <tableStyleElement type="totalRow" dxfId="26"/>
      <tableStyleElement type="firstColumn" dxfId="25"/>
      <tableStyleElement type="lastColumn" dxfId="24"/>
      <tableStyleElement type="firstRowStripe" dxfId="23"/>
      <tableStyleElement type="firstColumnStripe" dxfId="22"/>
    </tableStyle>
    <tableStyle name="PivotStylePreset2_Accent1" table="0" count="10" xr9:uid="{267968C8-6FFD-4C36-ACC1-9EA1FD1885CA}">
      <tableStyleElement type="headerRow" dxfId="38"/>
      <tableStyleElement type="totalRow" dxfId="37"/>
      <tableStyleElement type="firstRowStripe" dxfId="36"/>
      <tableStyleElement type="firstColumnStripe" dxfId="35"/>
      <tableStyleElement type="firstSubtotalRow" dxfId="34"/>
      <tableStyleElement type="secondSubtotalRow" dxfId="33"/>
      <tableStyleElement type="firstRowSubheading" dxfId="32"/>
      <tableStyleElement type="secondRowSubheading" dxfId="31"/>
      <tableStyleElement type="pageFieldLabels" dxfId="30"/>
      <tableStyleElement type="pageFieldValues" dxfId="29"/>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microsoft.com/office/2007/relationships/slicerCache" Target="slicerCaches/slicerCache3.xml"/><Relationship Id="rId5" Type="http://schemas.microsoft.com/office/2007/relationships/slicerCache" Target="slicerCaches/slicerCache2.xml"/><Relationship Id="rId4" Type="http://schemas.microsoft.com/office/2007/relationships/slicerCache" Target="slicerCaches/slicerCache1.xml"/><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3" Type="http://schemas.microsoft.com/office/2011/relationships/chartColorStyle" Target="colors1.xml"/><Relationship Id="rId2" Type="http://schemas.microsoft.com/office/2011/relationships/chartStyle" Target="style1.xml"/><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0" vertOverflow="ellipsis" vert="horz" wrap="square" anchor="ctr" anchorCtr="1" forceAA="0"/>
          <a:lstStyle/>
          <a:p>
            <a:pPr defTabSz="914400">
              <a:defRPr lang="zh-CN" sz="14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r>
              <a:rPr lang="en-CA" altLang="zh-CN" b="1"/>
              <a:t>Hours by Department</a:t>
            </a:r>
            <a:endParaRPr lang="en-CA" altLang="zh-CN" b="1"/>
          </a:p>
        </c:rich>
      </c:tx>
      <c:layout>
        <c:manualLayout>
          <c:xMode val="edge"/>
          <c:yMode val="edge"/>
          <c:x val="0.288526334456464"/>
          <c:y val="0.0447080291970803"/>
        </c:manualLayout>
      </c:layout>
      <c:overlay val="0"/>
      <c:spPr>
        <a:noFill/>
        <a:ln>
          <a:noFill/>
        </a:ln>
        <a:effectLst/>
      </c:spPr>
    </c:title>
    <c:autoTitleDeleted val="0"/>
    <c:plotArea>
      <c:layout/>
      <c:barChart>
        <c:barDir val="col"/>
        <c:grouping val="clustered"/>
        <c:varyColors val="0"/>
        <c:ser>
          <c:idx val="0"/>
          <c:order val="0"/>
          <c:tx>
            <c:strRef>
              <c:f>"Total"</c:f>
              <c:strCache>
                <c:ptCount val="1"/>
                <c:pt idx="0">
                  <c:v>Total</c:v>
                </c:pt>
              </c:strCache>
            </c:strRef>
          </c:tx>
          <c:spPr>
            <a:solidFill>
              <a:schemeClr val="accent1"/>
            </a:solidFill>
            <a:ln>
              <a:noFill/>
            </a:ln>
            <a:effectLst/>
          </c:spPr>
          <c:invertIfNegative val="0"/>
          <c:dLbls>
            <c:numFmt formatCode="General" sourceLinked="1"/>
            <c:spPr>
              <a:noFill/>
              <a:ln>
                <a:noFill/>
              </a:ln>
              <a:effectLst/>
            </c:spPr>
            <c:txPr>
              <a:bodyPr rot="0" spcFirstLastPara="0" vertOverflow="ellipsis" vert="horz" wrap="square" lIns="38100" tIns="19050" rIns="38100" bIns="19050"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{"Admin","Finance","HR","IT"}</c:f>
              <c:strCache>
                <c:ptCount val="4"/>
                <c:pt idx="0">
                  <c:v>Admin</c:v>
                </c:pt>
                <c:pt idx="1">
                  <c:v>Finance</c:v>
                </c:pt>
                <c:pt idx="2">
                  <c:v>HR</c:v>
                </c:pt>
                <c:pt idx="3">
                  <c:v>IT</c:v>
                </c:pt>
              </c:strCache>
            </c:strRef>
          </c:cat>
          <c:val>
            <c:numRef>
              <c:f>{5,20,6,20}</c:f>
              <c:numCache>
                <c:formatCode>General</c:formatCode>
                <c:ptCount val="4"/>
                <c:pt idx="0">
                  <c:v>5</c:v>
                </c:pt>
                <c:pt idx="1">
                  <c:v>20</c:v>
                </c:pt>
                <c:pt idx="2">
                  <c:v>6</c:v>
                </c:pt>
                <c:pt idx="3">
                  <c:v>20</c:v>
                </c:pt>
              </c:numCache>
            </c:numRef>
          </c:val>
        </c:ser>
        <c:dLbls>
          <c:showLegendKey val="0"/>
          <c:showVal val="1"/>
          <c:showCatName val="0"/>
          <c:showSerName val="0"/>
          <c:showPercent val="0"/>
          <c:showBubbleSize val="0"/>
        </c:dLbls>
        <c:gapWidth val="260"/>
        <c:overlap val="-32"/>
        <c:axId val="832416982"/>
        <c:axId val="167563940"/>
      </c:barChart>
      <c:catAx>
        <c:axId val="832416982"/>
        <c:scaling>
          <c:orientation val="minMax"/>
        </c:scaling>
        <c:delete val="0"/>
        <c:axPos val="b"/>
        <c:numFmt formatCode="General" sourceLinked="1"/>
        <c:majorTickMark val="out"/>
        <c:minorTickMark val="none"/>
        <c:tickLblPos val="nextTo"/>
        <c:spPr>
          <a:noFill/>
          <a:ln w="6350" cap="flat" cmpd="sng" algn="ctr">
            <a:solidFill>
              <a:schemeClr val="accent1">
                <a:alpha val="25000"/>
              </a:schemeClr>
            </a:solidFill>
            <a:round/>
          </a:ln>
          <a:effectLst/>
        </c:spPr>
        <c:txPr>
          <a:bodyPr rot="-60000000" spcFirstLastPara="0" vertOverflow="ellipsis" vert="horz" wrap="square"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crossAx val="167563940"/>
        <c:crosses val="autoZero"/>
        <c:auto val="1"/>
        <c:lblAlgn val="ctr"/>
        <c:lblOffset val="100"/>
        <c:noMultiLvlLbl val="0"/>
      </c:catAx>
      <c:valAx>
        <c:axId val="167563940"/>
        <c:scaling>
          <c:orientation val="minMax"/>
        </c:scaling>
        <c:delete val="1"/>
        <c:axPos val="l"/>
        <c:majorGridlines>
          <c:spPr>
            <a:ln w="6350" cap="flat" cmpd="sng" algn="ctr">
              <a:solidFill>
                <a:schemeClr val="tx1">
                  <a:lumMod val="50000"/>
                  <a:lumOff val="50000"/>
                  <a:alpha val="25000"/>
                </a:schemeClr>
              </a:solidFill>
              <a:round/>
            </a:ln>
            <a:effectLst/>
          </c:spPr>
        </c:majorGridlines>
        <c:numFmt formatCode="General" sourceLinked="1"/>
        <c:majorTickMark val="out"/>
        <c:minorTickMark val="none"/>
        <c:tickLblPos val="nextTo"/>
        <c:txPr>
          <a:bodyPr rot="-60000000" spcFirstLastPara="0" vertOverflow="ellipsis" vert="horz" wrap="square" anchor="ctr" anchorCtr="1" forceAA="0"/>
          <a:lstStyle/>
          <a:p>
            <a:pPr>
              <a:defRPr lang="zh-CN" sz="900" b="0" i="0" u="none" strike="noStrike" kern="1200" baseline="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crossAx val="832416982"/>
        <c:crosses val="autoZero"/>
        <c:crossBetween val="between"/>
      </c:valAx>
      <c:spPr>
        <a:noFill/>
        <a:ln>
          <a:noFill/>
        </a:ln>
        <a:effectLst/>
      </c:spPr>
    </c:plotArea>
    <c:plotVisOnly val="1"/>
    <c:dispBlanksAs val="gap"/>
    <c:showDLblsOverMax val="0"/>
    <c:extLst>
      <c:ext uri="{0b15fc19-7d7d-44ad-8c2d-2c3a37ce22c3}">
        <chartProps xmlns="https://web.wps.cn/et/2018/main" chartId="{8040a107-624a-467d-b0f3-de8cc81647a6}"/>
      </c:ext>
    </c:extLst>
  </c:chart>
  <c:spPr>
    <a:solidFill>
      <a:schemeClr val="bg1"/>
    </a:solidFill>
    <a:ln w="6350" cap="flat" cmpd="sng" algn="ctr">
      <a:solidFill>
        <a:schemeClr val="tx1">
          <a:lumMod val="50000"/>
          <a:lumOff val="50000"/>
          <a:alpha val="25000"/>
        </a:schemeClr>
      </a:solidFill>
      <a:round/>
    </a:ln>
    <a:effectLst/>
  </c:spPr>
  <c:txPr>
    <a:bodyPr/>
    <a:lstStyle/>
    <a:p>
      <a:pPr>
        <a:defRPr lang="zh-CN" sz="900">
          <a:solidFill>
            <a:schemeClr val="tx1">
              <a:lumMod val="75000"/>
              <a:lumOff val="25000"/>
            </a:schemeClr>
          </a:solidFill>
          <a:latin typeface="Microsoft YaHei" panose="020B0503020204020204" pitchFamily="34" charset="-122"/>
          <a:ea typeface="Microsoft YaHei" panose="020B0503020204020204" pitchFamily="34" charset="-122"/>
          <a:cs typeface="Microsoft YaHei" panose="020B0503020204020204" pitchFamily="34" charset="-122"/>
          <a:sym typeface="Microsoft YaHei" panose="020B0503020204020204" pitchFamily="34" charset="-122"/>
        </a:defRPr>
      </a:pPr>
    </a:p>
  </c:txPr>
  <c:externalData r:id="rId1">
    <c:autoUpdate val="0"/>
  </c:externalData>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zh-CN" sz="1400" b="1" i="0" u="none" strike="noStrike" kern="1200" baseline="0">
                <a:solidFill>
                  <a:schemeClr val="tx1">
                    <a:lumMod val="75000"/>
                    <a:lumOff val="25000"/>
                  </a:schemeClr>
                </a:solidFill>
                <a:latin typeface="+mn-lt"/>
                <a:ea typeface="+mn-ea"/>
                <a:cs typeface="+mn-cs"/>
              </a:defRPr>
            </a:pPr>
            <a:r>
              <a:rPr lang="en-CA" altLang="zh-CN"/>
              <a:t>Budget by Employee</a:t>
            </a:r>
            <a:endParaRPr lang="en-CA" altLang="zh-CN"/>
          </a:p>
        </c:rich>
      </c:tx>
      <c:layout/>
      <c:overlay val="0"/>
      <c:spPr>
        <a:noFill/>
        <a:ln>
          <a:noFill/>
        </a:ln>
        <a:effectLst/>
      </c:spPr>
    </c:title>
    <c:autoTitleDeleted val="0"/>
    <c:plotArea>
      <c:layout/>
      <c:barChart>
        <c:barDir val="col"/>
        <c:grouping val="clustered"/>
        <c:varyColors val="0"/>
        <c:ser>
          <c:idx val="0"/>
          <c:order val="0"/>
          <c:tx>
            <c:strRef>
              <c:f>"Total"</c:f>
              <c:strCache>
                <c:ptCount val="1"/>
                <c:pt idx="0">
                  <c:v>Total</c:v>
                </c:pt>
              </c:strCache>
            </c:strRef>
          </c:tx>
          <c:spPr>
            <a:solidFill>
              <a:schemeClr val="accent1"/>
            </a:solidFill>
            <a:ln>
              <a:noFill/>
            </a:ln>
            <a:effectLst/>
          </c:spPr>
          <c:invertIfNegative val="0"/>
          <c:dLbls>
            <c:numFmt formatCode="General" sourceLinked="1"/>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{"Ahmed","Fatima","John","Sarah"}</c:f>
              <c:strCache>
                <c:ptCount val="4"/>
                <c:pt idx="0">
                  <c:v>Ahmed</c:v>
                </c:pt>
                <c:pt idx="1">
                  <c:v>Fatima</c:v>
                </c:pt>
                <c:pt idx="2">
                  <c:v>John</c:v>
                </c:pt>
                <c:pt idx="3">
                  <c:v>Sarah</c:v>
                </c:pt>
              </c:strCache>
            </c:strRef>
          </c:cat>
          <c:val>
            <c:numRef>
              <c:f>{9700,500,11400,2100}</c:f>
              <c:numCache>
                <c:formatCode>General</c:formatCode>
                <c:ptCount val="4"/>
                <c:pt idx="0">
                  <c:v>9700</c:v>
                </c:pt>
                <c:pt idx="1">
                  <c:v>500</c:v>
                </c:pt>
                <c:pt idx="2">
                  <c:v>11400</c:v>
                </c:pt>
                <c:pt idx="3">
                  <c:v>2100</c:v>
                </c:pt>
              </c:numCache>
            </c:numRef>
          </c:val>
        </c:ser>
        <c:dLbls>
          <c:showLegendKey val="0"/>
          <c:showVal val="1"/>
          <c:showCatName val="0"/>
          <c:showSerName val="0"/>
          <c:showPercent val="0"/>
          <c:showBubbleSize val="0"/>
        </c:dLbls>
        <c:gapWidth val="246"/>
        <c:overlap val="-28"/>
        <c:axId val="295117911"/>
        <c:axId val="537225442"/>
      </c:barChart>
      <c:catAx>
        <c:axId val="2951179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537225442"/>
        <c:crosses val="autoZero"/>
        <c:auto val="1"/>
        <c:lblAlgn val="ctr"/>
        <c:lblOffset val="100"/>
        <c:noMultiLvlLbl val="0"/>
      </c:catAx>
      <c:valAx>
        <c:axId val="537225442"/>
        <c:scaling>
          <c:orientation val="minMax"/>
        </c:scaling>
        <c:delete val="0"/>
        <c:axPos val="l"/>
        <c:majorGridlines>
          <c:spPr>
            <a:ln w="9525" cap="flat" cmpd="sng" algn="ctr">
              <a:solidFill>
                <a:schemeClr val="lt1">
                  <a:lumMod val="90200"/>
                </a:schemeClr>
              </a:solidFill>
              <a:round/>
            </a:ln>
            <a:effectLst/>
          </c:spPr>
        </c:majorGridlines>
        <c:title>
          <c:tx>
            <c:rich>
              <a:bodyPr rot="-5400000" spcFirstLastPara="0" vertOverflow="ellipsis" vert="horz" wrap="square" anchor="ctr" anchorCtr="1"/>
              <a:lstStyle/>
              <a:p>
                <a:pPr defTabSz="914400">
                  <a:defRPr lang="zh-CN" sz="1000" b="0" i="0" u="none" strike="noStrike" kern="1200" baseline="0">
                    <a:solidFill>
                      <a:schemeClr val="tx1">
                        <a:lumMod val="65000"/>
                        <a:lumOff val="35000"/>
                      </a:schemeClr>
                    </a:solidFill>
                    <a:latin typeface="+mn-lt"/>
                    <a:ea typeface="+mn-ea"/>
                    <a:cs typeface="+mn-cs"/>
                  </a:defRPr>
                </a:pPr>
                <a:r>
                  <a:rPr lang="en-CA" altLang="zh-CN" b="1"/>
                  <a:t>Budget</a:t>
                </a:r>
                <a:endParaRPr lang="en-CA" altLang="zh-CN" b="1"/>
              </a:p>
            </c:rich>
          </c:tx>
          <c:layout/>
          <c:overlay val="0"/>
          <c:spPr>
            <a:noFill/>
            <a:ln>
              <a:noFill/>
            </a:ln>
            <a:effectLst/>
          </c:spPr>
        </c:title>
        <c:numFmt formatCode="General" sourceLinked="1"/>
        <c:majorTickMark val="out"/>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crossAx val="295117911"/>
        <c:crosses val="autoZero"/>
        <c:crossBetween val="between"/>
      </c:valAx>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584d1b6e-a8da-4f86-98e4-5f870d9e273c}"/>
      </c:ext>
    </c:extLst>
  </c:chart>
  <c:spPr>
    <a:solidFill>
      <a:schemeClr val="bg1"/>
    </a:solidFill>
    <a:ln w="9525" cap="flat" cmpd="sng" algn="ctr">
      <a:solidFill>
        <a:schemeClr val="tx1">
          <a:lumMod val="15000"/>
          <a:lumOff val="85000"/>
        </a:schemeClr>
      </a:solidFill>
      <a:round/>
    </a:ln>
    <a:effectLst/>
  </c:spPr>
  <c:txPr>
    <a:bodyPr/>
    <a:lstStyle/>
    <a:p>
      <a:pPr>
        <a:defRPr lang="zh-CN"/>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400" b="0" i="0" u="none" strike="noStrike" kern="1200" spc="0" baseline="0">
                <a:solidFill>
                  <a:schemeClr val="tx1">
                    <a:lumMod val="65000"/>
                    <a:lumOff val="35000"/>
                  </a:schemeClr>
                </a:solidFill>
                <a:latin typeface="+mn-lt"/>
                <a:ea typeface="+mn-ea"/>
                <a:cs typeface="+mn-cs"/>
              </a:defRPr>
            </a:pPr>
            <a:r>
              <a:rPr lang="en-CA" altLang="en-US" b="1"/>
              <a:t>Task Completion by Status</a:t>
            </a:r>
            <a:endParaRPr lang="en-CA" altLang="en-US" b="1"/>
          </a:p>
        </c:rich>
      </c:tx>
      <c:layout/>
      <c:overlay val="0"/>
      <c:spPr>
        <a:noFill/>
        <a:ln>
          <a:noFill/>
        </a:ln>
        <a:effectLst/>
      </c:spPr>
    </c:title>
    <c:autoTitleDeleted val="0"/>
    <c:plotArea>
      <c:layout/>
      <c:barChart>
        <c:barDir val="bar"/>
        <c:grouping val="clustered"/>
        <c:varyColors val="0"/>
        <c:ser>
          <c:idx val="0"/>
          <c:order val="0"/>
          <c:tx>
            <c:strRef>
              <c:f>"Total"</c:f>
              <c:strCache>
                <c:ptCount val="1"/>
                <c:pt idx="0">
                  <c:v>Total</c:v>
                </c:pt>
              </c:strCache>
            </c:strRef>
          </c:tx>
          <c:spPr>
            <a:solidFill>
              <a:schemeClr val="accent1"/>
            </a:solidFill>
            <a:ln>
              <a:noFill/>
            </a:ln>
            <a:effectLst/>
          </c:spPr>
          <c:invertIfNegative val="0"/>
          <c:dLbls>
            <c:delete val="1"/>
          </c:dLbls>
          <c:cat>
            <c:strRef>
              <c:f>{"Completed","Delayed","In Progress","Not Started"}</c:f>
              <c:strCache>
                <c:ptCount val="4"/>
                <c:pt idx="0">
                  <c:v>Completed</c:v>
                </c:pt>
                <c:pt idx="1">
                  <c:v>Delayed</c:v>
                </c:pt>
                <c:pt idx="2">
                  <c:v>In Progress</c:v>
                </c:pt>
                <c:pt idx="3">
                  <c:v>Not Started</c:v>
                </c:pt>
              </c:strCache>
            </c:strRef>
          </c:cat>
          <c:val>
            <c:numRef>
              <c:f>{3,1,3,1}</c:f>
              <c:numCache>
                <c:formatCode>General</c:formatCode>
                <c:ptCount val="4"/>
                <c:pt idx="0">
                  <c:v>3</c:v>
                </c:pt>
                <c:pt idx="1">
                  <c:v>1</c:v>
                </c:pt>
                <c:pt idx="2">
                  <c:v>3</c:v>
                </c:pt>
                <c:pt idx="3">
                  <c:v>1</c:v>
                </c:pt>
              </c:numCache>
            </c:numRef>
          </c:val>
        </c:ser>
        <c:dLbls>
          <c:showLegendKey val="0"/>
          <c:showVal val="0"/>
          <c:showCatName val="0"/>
          <c:showSerName val="0"/>
          <c:showPercent val="0"/>
          <c:showBubbleSize val="0"/>
        </c:dLbls>
        <c:gapWidth val="219"/>
        <c:overlap val="0"/>
        <c:axId val="164360924"/>
        <c:axId val="197711391"/>
      </c:barChart>
      <c:catAx>
        <c:axId val="164360924"/>
        <c:scaling>
          <c:orientation val="minMax"/>
        </c:scaling>
        <c:delete val="0"/>
        <c:axPos val="l"/>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97711391"/>
        <c:crosses val="autoZero"/>
        <c:auto val="1"/>
        <c:lblAlgn val="ctr"/>
        <c:lblOffset val="100"/>
        <c:noMultiLvlLbl val="0"/>
      </c:catAx>
      <c:valAx>
        <c:axId val="1977113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64360924"/>
        <c:crosses val="autoZero"/>
        <c:crossBetween val="between"/>
      </c:valAx>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e2818365-9cf1-4eff-ade5-876e75a8e254}"/>
      </c:ext>
    </c:extLst>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4</xdr:col>
      <xdr:colOff>297815</xdr:colOff>
      <xdr:row>18</xdr:row>
      <xdr:rowOff>19050</xdr:rowOff>
    </xdr:from>
    <xdr:to>
      <xdr:col>7</xdr:col>
      <xdr:colOff>1113790</xdr:colOff>
      <xdr:row>34</xdr:row>
      <xdr:rowOff>70485</xdr:rowOff>
    </xdr:to>
    <xdr:graphicFrame>
      <xdr:nvGraphicFramePr>
        <xdr:cNvPr id="3" name="Chart 2" descr="7b0a202020202263686172745265734964223a202234363130333534220a7d0a"/>
        <xdr:cNvGraphicFramePr/>
      </xdr:nvGraphicFramePr>
      <xdr:xfrm>
        <a:off x="4406265" y="3276600"/>
        <a:ext cx="4011930" cy="294703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319405</xdr:colOff>
      <xdr:row>18</xdr:row>
      <xdr:rowOff>19050</xdr:rowOff>
    </xdr:from>
    <xdr:to>
      <xdr:col>13</xdr:col>
      <xdr:colOff>499110</xdr:colOff>
      <xdr:row>34</xdr:row>
      <xdr:rowOff>70485</xdr:rowOff>
    </xdr:to>
    <xdr:graphicFrame>
      <xdr:nvGraphicFramePr>
        <xdr:cNvPr id="4" name="Chart 3" descr="7b0a202020202263686172745265734964223a202234363130333534220a7d0a"/>
        <xdr:cNvGraphicFramePr/>
      </xdr:nvGraphicFramePr>
      <xdr:xfrm>
        <a:off x="8790940" y="3276600"/>
        <a:ext cx="4004310" cy="294703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20320</xdr:colOff>
      <xdr:row>18</xdr:row>
      <xdr:rowOff>19050</xdr:rowOff>
    </xdr:from>
    <xdr:to>
      <xdr:col>3</xdr:col>
      <xdr:colOff>1069340</xdr:colOff>
      <xdr:row>34</xdr:row>
      <xdr:rowOff>71120</xdr:rowOff>
    </xdr:to>
    <xdr:graphicFrame>
      <xdr:nvGraphicFramePr>
        <xdr:cNvPr id="9" name="Chart 8"/>
        <xdr:cNvGraphicFramePr/>
      </xdr:nvGraphicFramePr>
      <xdr:xfrm>
        <a:off x="20320" y="3276600"/>
        <a:ext cx="4013835" cy="29476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0</xdr:col>
      <xdr:colOff>78740</xdr:colOff>
      <xdr:row>2</xdr:row>
      <xdr:rowOff>163830</xdr:rowOff>
    </xdr:from>
    <xdr:to>
      <xdr:col>2</xdr:col>
      <xdr:colOff>69850</xdr:colOff>
      <xdr:row>15</xdr:row>
      <xdr:rowOff>175260</xdr:rowOff>
    </xdr:to>
    <mc:AlternateContent xmlns:mc="http://schemas.openxmlformats.org/markup-compatibility/2006">
      <mc:Choice xmlns:sle15="http://schemas.microsoft.com/office/drawing/2012/slicer" Requires="sle15">
        <xdr:graphicFrame>
          <xdr:nvGraphicFramePr>
            <xdr:cNvPr id="10"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740" y="525780"/>
              <a:ext cx="1826895" cy="236410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editAs="absolute">
    <xdr:from>
      <xdr:col>3</xdr:col>
      <xdr:colOff>892810</xdr:colOff>
      <xdr:row>2</xdr:row>
      <xdr:rowOff>163195</xdr:rowOff>
    </xdr:from>
    <xdr:to>
      <xdr:col>4</xdr:col>
      <xdr:colOff>1575435</xdr:colOff>
      <xdr:row>15</xdr:row>
      <xdr:rowOff>175260</xdr:rowOff>
    </xdr:to>
    <mc:AlternateContent xmlns:mc="http://schemas.openxmlformats.org/markup-compatibility/2006">
      <mc:Choice xmlns:sle15="http://schemas.microsoft.com/office/drawing/2012/slicer" Requires="sle15">
        <xdr:graphicFrame>
          <xdr:nvGraphicFramePr>
            <xdr:cNvPr id="11" name="Assigned To"/>
            <xdr:cNvGraphicFramePr/>
          </xdr:nvGraphicFramePr>
          <xdr:xfrm>
            <a:off x="0" y="0"/>
            <a:ext cx="0" cy="0"/>
          </xdr:xfrm>
          <a:graphic>
            <a:graphicData uri="http://schemas.microsoft.com/office/drawing/2010/slicer">
              <sle:slicer xmlns:sle="http://schemas.microsoft.com/office/drawing/2010/slicer" name="Assigned To"/>
            </a:graphicData>
          </a:graphic>
        </xdr:graphicFrame>
      </mc:Choice>
      <mc:Fallback xmlns="">
        <xdr:sp macro="" textlink="">
          <xdr:nvSpPr>
            <xdr:cNvPr id="0" name=""/>
            <xdr:cNvSpPr>
              <a:spLocks noTextEdit="1"/>
            </xdr:cNvSpPr>
          </xdr:nvSpPr>
          <xdr:spPr>
            <a:xfrm>
              <a:off x="3857625" y="525145"/>
              <a:ext cx="1826260" cy="236474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editAs="absolute">
    <xdr:from>
      <xdr:col>7</xdr:col>
      <xdr:colOff>327660</xdr:colOff>
      <xdr:row>2</xdr:row>
      <xdr:rowOff>163195</xdr:rowOff>
    </xdr:from>
    <xdr:to>
      <xdr:col>8</xdr:col>
      <xdr:colOff>986790</xdr:colOff>
      <xdr:row>15</xdr:row>
      <xdr:rowOff>175260</xdr:rowOff>
    </xdr:to>
    <mc:AlternateContent xmlns:mc="http://schemas.openxmlformats.org/markup-compatibility/2006">
      <mc:Choice xmlns:sle15="http://schemas.microsoft.com/office/drawing/2012/slicer" Requires="sle15">
        <xdr:graphicFrame>
          <xdr:nvGraphicFramePr>
            <xdr:cNvPr id="12" name="Status"/>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7632065" y="525145"/>
              <a:ext cx="1826260" cy="236474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178.8519560185" refreshedBy="Rashi" recordCount="8">
  <cacheSource type="worksheet">
    <worksheetSource name="TblOp"/>
  </cacheSource>
  <cacheFields count="15">
    <cacheField name="Department" numFmtId="0">
      <sharedItems count="4">
        <s v="Finance"/>
        <s v="HR"/>
        <s v="IT"/>
        <s v="Admin"/>
      </sharedItems>
    </cacheField>
    <cacheField name="Task" numFmtId="0">
      <sharedItems count="8">
        <s v="Prepare Q2 Report"/>
        <s v="Update Employee Records"/>
        <s v="System Maintenance"/>
        <s v="Office Supply Audit"/>
        <s v="Budget Forecasting"/>
        <s v="Training Session Prep"/>
        <s v="Software Updates"/>
        <s v="Meeting Coordination"/>
      </sharedItems>
    </cacheField>
    <cacheField name="Assigned To" numFmtId="0">
      <sharedItems count="4">
        <s v="Ahmed"/>
        <s v="Sarah"/>
        <s v="John"/>
        <s v="Fatima"/>
      </sharedItems>
    </cacheField>
    <cacheField name="Year" numFmtId="0">
      <sharedItems count="7">
        <s v="2026‑06‑01"/>
        <s v="2026‑06‑03"/>
        <s v="2026‑06‑05"/>
        <s v="2026‑06‑02"/>
        <s v="2026‑06‑10"/>
        <s v="2026‑06‑12"/>
        <s v="2026‑06‑15"/>
      </sharedItems>
    </cacheField>
    <cacheField name="Start Date" numFmtId="178">
      <sharedItems containsSemiMixedTypes="0" containsString="0" containsNonDate="0" containsDate="1" minDate="2026-06-01T00:00:00" maxDate="2026-06-15T00:00:00" count="7">
        <d v="2026-06-01T00:00:00"/>
        <d v="2026-06-03T00:00:00"/>
        <d v="2026-06-05T00:00:00"/>
        <d v="2026-06-02T00:00:00"/>
        <d v="2026-06-10T00:00:00"/>
        <d v="2026-06-12T00:00:00"/>
        <d v="2026-06-15T00:00:00"/>
      </sharedItems>
    </cacheField>
    <cacheField name="Year Due" numFmtId="0">
      <sharedItems count="8">
        <s v="2026‑06‑14"/>
        <s v="2026‑06‑10"/>
        <s v="2026‑06‑20"/>
        <s v="2026‑06‑07"/>
        <s v="2026‑06‑25"/>
        <s v="2026‑06‑18"/>
        <s v="2026‑06‑30"/>
        <s v="2026‑06‑03"/>
      </sharedItems>
    </cacheField>
    <cacheField name="Due Date" numFmtId="178">
      <sharedItems containsSemiMixedTypes="0" containsString="0" containsNonDate="0" containsDate="1" minDate="2026-06-03T00:00:00" maxDate="2026-06-30T00:00:00" count="8">
        <d v="2026-06-14T00:00:00"/>
        <d v="2026-06-10T00:00:00"/>
        <d v="2026-06-20T00:00:00"/>
        <d v="2026-06-07T00:00:00"/>
        <d v="2026-06-25T00:00:00"/>
        <d v="2026-06-18T00:00:00"/>
        <d v="2026-06-30T00:00:00"/>
        <d v="2026-06-03T00:00:00"/>
      </sharedItems>
    </cacheField>
    <cacheField name="Status" numFmtId="0">
      <sharedItems count="4">
        <s v="In Progress"/>
        <s v="Completed"/>
        <s v="Delayed"/>
        <s v="Not Started"/>
      </sharedItems>
    </cacheField>
    <cacheField name="Priority" numFmtId="0">
      <sharedItems count="3">
        <s v="High"/>
        <s v="Medium"/>
        <s v="Low"/>
      </sharedItems>
    </cacheField>
    <cacheField name="Hours Spent" numFmtId="0">
      <sharedItems containsSemiMixedTypes="0" containsString="0" containsNumber="1" containsInteger="1" minValue="0" maxValue="15" count="8">
        <n v="12"/>
        <n v="6"/>
        <n v="15"/>
        <n v="3"/>
        <n v="8"/>
        <n v="0"/>
        <n v="5"/>
        <n v="2"/>
      </sharedItems>
    </cacheField>
    <cacheField name="Budget ($)" numFmtId="0">
      <sharedItems containsSemiMixedTypes="0" containsString="0" containsNumber="1" containsInteger="1" minValue="0" maxValue="7800" count="8">
        <n v="4500"/>
        <n v="1200"/>
        <n v="7800"/>
        <n v="350"/>
        <n v="5200"/>
        <n v="900"/>
        <n v="3600"/>
        <n v="150"/>
      </sharedItems>
    </cacheField>
    <cacheField name="Completion %" numFmtId="9">
      <sharedItems containsSemiMixedTypes="0" containsString="0" containsNumber="1" minValue="0" maxValue="1" count="6">
        <n v="0.65"/>
        <n v="1"/>
        <n v="0.4"/>
        <n v="0.5"/>
        <n v="0"/>
        <n v="0.2"/>
      </sharedItems>
    </cacheField>
    <cacheField name="Days Remaining" numFmtId="0">
      <sharedItems containsSemiMixedTypes="0" containsString="0" containsNumber="1" containsInteger="1" minValue="0" maxValue="25" count="6">
        <n v="9"/>
        <n v="0"/>
        <n v="15"/>
        <n v="20"/>
        <n v="13"/>
        <n v="25"/>
      </sharedItems>
    </cacheField>
    <cacheField name="Over-Budget Flag" numFmtId="0">
      <sharedItems count="1">
        <s v="OK"/>
      </sharedItems>
    </cacheField>
    <cacheField name="Task Duration" numFmtId="0">
      <sharedItems containsSemiMixedTypes="0" containsString="0" containsNumber="1" containsInteger="1" minValue="0" maxValue="15" count="6">
        <n v="13"/>
        <n v="7"/>
        <n v="15"/>
        <n v="5"/>
        <n v="6"/>
        <n v="2"/>
      </sharedItems>
    </cacheField>
  </cacheFields>
</pivotCacheDefinition>
</file>

<file path=xl/pivotCache/pivotCacheRecords1.xml><?xml version="1.0" encoding="utf-8"?>
<pivotCacheRecords xmlns="http://schemas.openxmlformats.org/spreadsheetml/2006/main" xmlns:r="http://schemas.openxmlformats.org/officeDocument/2006/relationships" count="8">
  <r>
    <x v="0"/>
    <x v="0"/>
    <x v="0"/>
    <x v="0"/>
    <x v="0"/>
    <x v="0"/>
    <x v="0"/>
    <x v="0"/>
    <x v="0"/>
    <x v="0"/>
    <x v="0"/>
    <x v="0"/>
    <x v="0"/>
    <x v="0"/>
    <x v="0"/>
  </r>
  <r>
    <x v="1"/>
    <x v="1"/>
    <x v="1"/>
    <x v="1"/>
    <x v="1"/>
    <x v="1"/>
    <x v="1"/>
    <x v="1"/>
    <x v="1"/>
    <x v="1"/>
    <x v="1"/>
    <x v="1"/>
    <x v="1"/>
    <x v="0"/>
    <x v="1"/>
  </r>
  <r>
    <x v="2"/>
    <x v="2"/>
    <x v="2"/>
    <x v="2"/>
    <x v="2"/>
    <x v="2"/>
    <x v="2"/>
    <x v="2"/>
    <x v="0"/>
    <x v="2"/>
    <x v="2"/>
    <x v="2"/>
    <x v="2"/>
    <x v="0"/>
    <x v="2"/>
  </r>
  <r>
    <x v="3"/>
    <x v="3"/>
    <x v="3"/>
    <x v="3"/>
    <x v="3"/>
    <x v="3"/>
    <x v="3"/>
    <x v="1"/>
    <x v="2"/>
    <x v="3"/>
    <x v="3"/>
    <x v="1"/>
    <x v="1"/>
    <x v="0"/>
    <x v="3"/>
  </r>
  <r>
    <x v="0"/>
    <x v="4"/>
    <x v="0"/>
    <x v="4"/>
    <x v="4"/>
    <x v="4"/>
    <x v="4"/>
    <x v="0"/>
    <x v="0"/>
    <x v="4"/>
    <x v="4"/>
    <x v="3"/>
    <x v="3"/>
    <x v="0"/>
    <x v="2"/>
  </r>
  <r>
    <x v="1"/>
    <x v="5"/>
    <x v="1"/>
    <x v="5"/>
    <x v="5"/>
    <x v="5"/>
    <x v="5"/>
    <x v="3"/>
    <x v="1"/>
    <x v="5"/>
    <x v="5"/>
    <x v="4"/>
    <x v="4"/>
    <x v="0"/>
    <x v="4"/>
  </r>
  <r>
    <x v="2"/>
    <x v="6"/>
    <x v="2"/>
    <x v="6"/>
    <x v="6"/>
    <x v="6"/>
    <x v="6"/>
    <x v="0"/>
    <x v="0"/>
    <x v="6"/>
    <x v="6"/>
    <x v="5"/>
    <x v="5"/>
    <x v="0"/>
    <x v="2"/>
  </r>
  <r>
    <x v="3"/>
    <x v="7"/>
    <x v="3"/>
    <x v="0"/>
    <x v="0"/>
    <x v="7"/>
    <x v="7"/>
    <x v="1"/>
    <x v="2"/>
    <x v="7"/>
    <x v="7"/>
    <x v="1"/>
    <x v="1"/>
    <x v="0"/>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4"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B18:C23" firstHeaderRow="1" firstDataRow="1" firstDataCol="1"/>
  <pivotFields count="15">
    <pivotField compact="0" showAll="0">
      <items count="5">
        <item x="3"/>
        <item x="0"/>
        <item x="1"/>
        <item x="2"/>
        <item t="default"/>
      </items>
    </pivotField>
    <pivotField compact="0" showAll="0"/>
    <pivotField compact="0" showAll="0"/>
    <pivotField compact="0" showAll="0"/>
    <pivotField compact="0" numFmtId="178" showAll="0"/>
    <pivotField compact="0" showAll="0"/>
    <pivotField compact="0" numFmtId="178" showAll="0"/>
    <pivotField axis="axisRow" dataField="1" compact="0" showAll="0">
      <items count="5">
        <item x="1"/>
        <item x="2"/>
        <item x="0"/>
        <item x="3"/>
        <item t="default"/>
      </items>
    </pivotField>
    <pivotField compact="0" showAll="0"/>
    <pivotField compact="0" showAll="0"/>
    <pivotField compact="0" showAll="0"/>
    <pivotField compact="0" numFmtId="9" showAll="0"/>
    <pivotField compact="0" showAll="0"/>
    <pivotField compact="0" showAll="0"/>
    <pivotField compact="0" showAll="0"/>
  </pivotFields>
  <rowFields count="1">
    <field x="7"/>
  </rowFields>
  <rowItems count="5">
    <i>
      <x/>
    </i>
    <i>
      <x v="1"/>
    </i>
    <i>
      <x v="2"/>
    </i>
    <i>
      <x v="3"/>
    </i>
    <i t="grand">
      <x/>
    </i>
  </rowItems>
  <colItems count="1">
    <i/>
  </colItems>
  <dataFields count="1">
    <dataField name="Count of Status" fld="7"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5"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I18:J23" firstHeaderRow="1" firstDataRow="1" firstDataCol="1"/>
  <pivotFields count="15">
    <pivotField axis="axisRow" compact="0" showAll="0">
      <items count="5">
        <item x="3"/>
        <item x="0"/>
        <item x="1"/>
        <item x="2"/>
        <item t="default"/>
      </items>
    </pivotField>
    <pivotField compact="0" showAll="0">
      <items count="9">
        <item x="4"/>
        <item x="7"/>
        <item x="3"/>
        <item x="0"/>
        <item x="6"/>
        <item x="2"/>
        <item x="5"/>
        <item x="1"/>
        <item t="default"/>
      </items>
    </pivotField>
    <pivotField compact="0" showAll="0">
      <items count="5">
        <item x="0"/>
        <item x="3"/>
        <item x="2"/>
        <item x="1"/>
        <item t="default"/>
      </items>
    </pivotField>
    <pivotField compact="0" showAll="0">
      <items count="8">
        <item x="0"/>
        <item x="3"/>
        <item x="1"/>
        <item x="2"/>
        <item x="4"/>
        <item x="5"/>
        <item x="6"/>
        <item t="default"/>
      </items>
    </pivotField>
    <pivotField compact="0" numFmtId="178" showAll="0">
      <items count="8">
        <item x="0"/>
        <item x="3"/>
        <item x="1"/>
        <item x="2"/>
        <item x="4"/>
        <item x="5"/>
        <item x="6"/>
        <item t="default"/>
      </items>
    </pivotField>
    <pivotField compact="0" showAll="0">
      <items count="9">
        <item x="7"/>
        <item x="3"/>
        <item x="1"/>
        <item x="0"/>
        <item x="5"/>
        <item x="2"/>
        <item x="4"/>
        <item x="6"/>
        <item t="default"/>
      </items>
    </pivotField>
    <pivotField compact="0" numFmtId="178" showAll="0">
      <items count="9">
        <item x="7"/>
        <item x="3"/>
        <item x="1"/>
        <item x="0"/>
        <item x="5"/>
        <item x="2"/>
        <item x="4"/>
        <item x="6"/>
        <item t="default"/>
      </items>
    </pivotField>
    <pivotField compact="0" showAll="0">
      <items count="5">
        <item x="1"/>
        <item x="2"/>
        <item x="0"/>
        <item x="3"/>
        <item t="default"/>
      </items>
    </pivotField>
    <pivotField compact="0" showAll="0">
      <items count="4">
        <item x="0"/>
        <item x="2"/>
        <item x="1"/>
        <item t="default"/>
      </items>
    </pivotField>
    <pivotField dataField="1" compact="0" showAll="0">
      <items count="9">
        <item x="5"/>
        <item x="7"/>
        <item x="3"/>
        <item x="6"/>
        <item x="1"/>
        <item x="4"/>
        <item x="0"/>
        <item x="2"/>
        <item t="default"/>
      </items>
    </pivotField>
    <pivotField compact="0" showAll="0">
      <items count="9">
        <item x="7"/>
        <item x="3"/>
        <item x="5"/>
        <item x="1"/>
        <item x="6"/>
        <item x="0"/>
        <item x="4"/>
        <item x="2"/>
        <item t="default"/>
      </items>
    </pivotField>
    <pivotField compact="0" numFmtId="9" showAll="0">
      <items count="7">
        <item x="4"/>
        <item x="5"/>
        <item x="2"/>
        <item x="3"/>
        <item x="0"/>
        <item x="1"/>
        <item t="default"/>
      </items>
    </pivotField>
    <pivotField compact="0" showAll="0">
      <items count="7">
        <item x="1"/>
        <item x="0"/>
        <item x="4"/>
        <item x="2"/>
        <item x="3"/>
        <item x="5"/>
        <item t="default"/>
      </items>
    </pivotField>
    <pivotField compact="0" showAll="0">
      <items count="2">
        <item x="0"/>
        <item t="default"/>
      </items>
    </pivotField>
    <pivotField compact="0" showAll="0">
      <items count="7">
        <item x="5"/>
        <item x="3"/>
        <item x="4"/>
        <item x="1"/>
        <item x="0"/>
        <item x="2"/>
        <item t="default"/>
      </items>
    </pivotField>
  </pivotFields>
  <rowFields count="1">
    <field x="0"/>
  </rowFields>
  <rowItems count="5">
    <i>
      <x/>
    </i>
    <i>
      <x v="1"/>
    </i>
    <i>
      <x v="2"/>
    </i>
    <i>
      <x v="3"/>
    </i>
    <i t="grand">
      <x/>
    </i>
  </rowItems>
  <colItems count="1">
    <i/>
  </colItems>
  <dataFields count="1">
    <dataField name="Sum of Hours Spent" fld="9"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6"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location ref="N18:P23" firstHeaderRow="0" firstDataRow="1" firstDataCol="1"/>
  <pivotFields count="15">
    <pivotField compact="0" showAll="0">
      <items count="5">
        <item x="3"/>
        <item x="0"/>
        <item x="1"/>
        <item x="2"/>
        <item t="default"/>
      </items>
    </pivotField>
    <pivotField compact="0" showAll="0"/>
    <pivotField axis="axisRow" compact="0" showAll="0">
      <items count="5">
        <item x="0"/>
        <item x="3"/>
        <item x="2"/>
        <item x="1"/>
        <item t="default"/>
      </items>
    </pivotField>
    <pivotField compact="0" showAll="0"/>
    <pivotField compact="0" numFmtId="178" showAll="0"/>
    <pivotField compact="0" showAll="0"/>
    <pivotField compact="0" numFmtId="178" showAll="0"/>
    <pivotField compact="0" showAll="0"/>
    <pivotField compact="0" showAll="0"/>
    <pivotField dataField="1" compact="0" showAll="0">
      <items count="9">
        <item x="5"/>
        <item x="7"/>
        <item x="3"/>
        <item x="6"/>
        <item x="1"/>
        <item x="4"/>
        <item x="0"/>
        <item x="2"/>
        <item t="default"/>
      </items>
    </pivotField>
    <pivotField dataField="1" compact="0" showAll="0">
      <items count="9">
        <item x="7"/>
        <item x="3"/>
        <item x="5"/>
        <item x="1"/>
        <item x="6"/>
        <item x="0"/>
        <item x="4"/>
        <item x="2"/>
        <item t="default"/>
      </items>
    </pivotField>
    <pivotField compact="0" numFmtId="9" showAll="0"/>
    <pivotField compact="0" showAll="0"/>
    <pivotField compact="0" showAll="0"/>
    <pivotField compact="0" showAll="0"/>
  </pivotFields>
  <rowFields count="1">
    <field x="2"/>
  </rowFields>
  <rowItems count="5">
    <i>
      <x/>
    </i>
    <i>
      <x v="1"/>
    </i>
    <i>
      <x v="2"/>
    </i>
    <i>
      <x v="3"/>
    </i>
    <i t="grand">
      <x/>
    </i>
  </rowItems>
  <colFields count="1">
    <field x="-2"/>
  </colFields>
  <colItems count="2">
    <i>
      <x/>
    </i>
    <i i="1">
      <x v="1"/>
    </i>
  </colItems>
  <dataFields count="2">
    <dataField name="Sum of Budget ($)" fld="10" baseField="0" baseItem="0"/>
    <dataField name="Sum of Hours Spent" fld="9"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Status" sourceName="Status">
  <extLst>
    <x:ext xmlns:x15="http://schemas.microsoft.com/office/spreadsheetml/2010/11/main" uri="{2F2917AC-EB37-4324-AD4E-5DD8C200BD13}">
      <x15:tableSlicerCache tableId="1" column="6"/>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Assigned_To" sourceName="Assigned To">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epartment" cache="Slicer_Department" caption="Department" rowHeight="225425"/>
  <slicer name="Assigned To" cache="Slicer_Assigned_To" caption="Assigned To" rowHeight="225425"/>
  <slicer name="Status" cache="Slicer_Status" caption="Status" rowHeight="225425"/>
</slicers>
</file>

<file path=xl/tables/table1.xml><?xml version="1.0" encoding="utf-8"?>
<table xmlns="http://schemas.openxmlformats.org/spreadsheetml/2006/main" id="1" name="TblOp" displayName="TblOp" ref="B5:P13" totalsRowShown="0">
  <autoFilter xmlns:etc="http://www.wps.cn/officeDocument/2017/etCustomData" ref="B5:P13" etc:filterBottomFollowUsedRange="0"/>
  <tableColumns count="15">
    <tableColumn id="1" name="Department" dataDxfId="0"/>
    <tableColumn id="2" name="Task" dataDxfId="1"/>
    <tableColumn id="3" name="Assigned To" dataDxfId="2"/>
    <tableColumn id="4" name="Year" dataDxfId="3"/>
    <tableColumn id="14" name="Start Date" dataDxfId="4">
      <calculatedColumnFormula>DATE(LEFT(E6,4),MID(E6,6,2),RIGHT(E6,2))</calculatedColumnFormula>
    </tableColumn>
    <tableColumn id="5" name="Year Due" dataDxfId="5"/>
    <tableColumn id="15" name="Due Date" dataDxfId="6">
      <calculatedColumnFormula>DATE(LEFT(G6,4),MID(G6,6,2),RIGHT(G6,2))</calculatedColumnFormula>
    </tableColumn>
    <tableColumn id="6" name="Status" dataDxfId="7"/>
    <tableColumn id="7" name="Priority" dataDxfId="8"/>
    <tableColumn id="8" name="Hours Spent" dataDxfId="9"/>
    <tableColumn id="9" name="Budget ($)" dataDxfId="10"/>
    <tableColumn id="10" name="Completion %" dataDxfId="11"/>
    <tableColumn id="11" name="Days Remaining" dataDxfId="12">
      <calculatedColumnFormula>IF(TblOp[[#This Row],[Status]]="Completed",0,DATE(2026,7,15)-TblOp[[#This Row],[Due Date]])</calculatedColumnFormula>
    </tableColumn>
    <tableColumn id="12" name="Over-Budget Flag" dataDxfId="13">
      <calculatedColumnFormula>IF(TblOp[[#This Row],[Hours Spent]]*50&gt;TblOp[[#This Row],[Budget ($)]],"Over Budget","OK")</calculatedColumnFormula>
    </tableColumn>
    <tableColumn id="13" name="Task Duration" dataDxfId="14">
      <calculatedColumnFormula>TblOp[[#This Row],[Due Date]]-TblOp[[#This Row],[Start Date]]</calculatedColumnFormula>
    </tableColumn>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eme/themeOverride1.xml><?xml version="1.0" encoding="utf-8"?>
<a:themeOverride xmlns:a="http://schemas.openxmlformats.org/drawingml/2006/main">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4" Type="http://schemas.openxmlformats.org/officeDocument/2006/relationships/table" Target="../tables/table1.xml"/><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S50"/>
  <sheetViews>
    <sheetView zoomScale="79" zoomScaleNormal="79" workbookViewId="0">
      <selection activeCell="I1" sqref="I1"/>
    </sheetView>
  </sheetViews>
  <sheetFormatPr defaultColWidth="9.02654867256637" defaultRowHeight="14.25"/>
  <cols>
    <col min="2" max="2" width="13.8849557522124" customWidth="1"/>
    <col min="3" max="3" width="16.3805309734513" customWidth="1"/>
    <col min="4" max="4" width="11.8230088495575" customWidth="1"/>
    <col min="5" max="5" width="10.8938053097345" hidden="1" customWidth="1"/>
    <col min="6" max="6" width="11.8849557522124" style="2" customWidth="1"/>
    <col min="7" max="7" width="11.8849557522124" hidden="1" customWidth="1"/>
    <col min="8" max="9" width="12.0884955752212" customWidth="1"/>
    <col min="10" max="10" width="17.646017699115" customWidth="1"/>
    <col min="11" max="11" width="14.5398230088496" customWidth="1"/>
    <col min="12" max="12" width="11.6283185840708" customWidth="1"/>
    <col min="13" max="13" width="13.9469026548673" customWidth="1"/>
    <col min="14" max="14" width="16.3097345132743" customWidth="1"/>
    <col min="15" max="15" width="17.6548672566372" customWidth="1"/>
    <col min="16" max="16" width="15.7964601769912" customWidth="1"/>
  </cols>
  <sheetData>
    <row r="1" ht="23.25" spans="2:19">
      <c r="B1" s="3" t="s">
        <v>0</v>
      </c>
      <c r="C1" s="4"/>
      <c r="D1" s="4"/>
      <c r="E1" s="4"/>
      <c r="F1" s="5"/>
    </row>
    <row r="2" ht="21" spans="2:19">
      <c r="B2" s="6" t="s">
        <v>1</v>
      </c>
      <c r="C2" s="7"/>
      <c r="D2" s="7"/>
      <c r="E2" s="8">
        <f>COUNTIF(TblOp[Status],"Completed")</f>
        <v>3</v>
      </c>
      <c r="F2" s="9">
        <f>COUNTIF(TblOp[Status],"Completed")</f>
        <v>3</v>
      </c>
      <c r="K2" s="10"/>
    </row>
    <row r="3" ht="21" spans="2:19">
      <c r="B3" s="11" t="s">
        <v>2</v>
      </c>
      <c r="C3" s="12"/>
      <c r="D3" s="12"/>
      <c r="E3" s="13">
        <f>AVERAGE(TblOp[Completion %])</f>
        <v>0.59375</v>
      </c>
      <c r="F3" s="14">
        <f>AVERAGE(TblOp[Completion %])</f>
        <v>0.59375</v>
      </c>
    </row>
    <row r="4" ht="12" customHeight="1"/>
    <row r="5" ht="42" customHeight="1" spans="2:19">
      <c r="B5" s="15" t="s">
        <v>3</v>
      </c>
      <c r="C5" s="15" t="s">
        <v>4</v>
      </c>
      <c r="D5" s="15" t="s">
        <v>5</v>
      </c>
      <c r="E5" s="15" t="s">
        <v>6</v>
      </c>
      <c r="F5" s="16" t="s">
        <v>7</v>
      </c>
      <c r="G5" s="15" t="s">
        <v>8</v>
      </c>
      <c r="H5" s="15" t="s">
        <v>9</v>
      </c>
      <c r="I5" s="15" t="s">
        <v>10</v>
      </c>
      <c r="J5" s="15" t="s">
        <v>11</v>
      </c>
      <c r="K5" s="15" t="s">
        <v>12</v>
      </c>
      <c r="L5" s="15" t="s">
        <v>13</v>
      </c>
      <c r="M5" s="15" t="s">
        <v>14</v>
      </c>
      <c r="N5" s="17" t="s">
        <v>15</v>
      </c>
      <c r="O5" s="17" t="s">
        <v>16</v>
      </c>
      <c r="P5" s="17" t="s">
        <v>17</v>
      </c>
    </row>
    <row r="6" spans="2:19">
      <c r="B6" s="15" t="s">
        <v>18</v>
      </c>
      <c r="C6" s="17" t="s">
        <v>19</v>
      </c>
      <c r="D6" s="17" t="s">
        <v>20</v>
      </c>
      <c r="E6" s="17" t="s">
        <v>21</v>
      </c>
      <c r="F6" s="18">
        <f>DATE(LEFT(E6,4),MID(E6,6,2),RIGHT(E6,2))</f>
        <v>46174</v>
      </c>
      <c r="G6" s="17" t="s">
        <v>22</v>
      </c>
      <c r="H6" s="18">
        <f>DATE(LEFT(G6,4),MID(G6,6,2),RIGHT(G6,2))</f>
        <v>46187</v>
      </c>
      <c r="I6" s="17" t="s">
        <v>23</v>
      </c>
      <c r="J6" s="17" t="s">
        <v>24</v>
      </c>
      <c r="K6" s="19">
        <v>12</v>
      </c>
      <c r="L6" s="20">
        <v>4500</v>
      </c>
      <c r="M6" s="21">
        <v>0.65</v>
      </c>
      <c r="N6" s="22">
        <f>IF(TblOp[[#This Row],[Status]]="Completed",0,DATE(2026,7,15)-TblOp[[#This Row],[Due Date]])</f>
        <v>31</v>
      </c>
      <c r="O6" s="23" t="str">
        <f>IF(TblOp[[#This Row],[Hours Spent]]*50&gt;TblOp[[#This Row],[Budget ($)]],"Over Budget","OK")</f>
        <v>OK</v>
      </c>
      <c r="P6" s="24">
        <f>TblOp[[#This Row],[Due Date]]-TblOp[[#This Row],[Start Date]]</f>
        <v>13</v>
      </c>
      <c r="R6" s="25"/>
    </row>
    <row r="7" ht="28.5" spans="2:19">
      <c r="B7" s="15" t="s">
        <v>25</v>
      </c>
      <c r="C7" s="17" t="s">
        <v>26</v>
      </c>
      <c r="D7" s="17" t="s">
        <v>27</v>
      </c>
      <c r="E7" s="17" t="s">
        <v>28</v>
      </c>
      <c r="F7" s="18">
        <f t="shared" ref="F6:F13" si="0">DATE(LEFT(E7,4),MID(E7,6,2),RIGHT(E7,2))</f>
        <v>46176</v>
      </c>
      <c r="G7" s="17" t="s">
        <v>29</v>
      </c>
      <c r="H7" s="18">
        <f t="shared" ref="H7:H13" si="1">DATE(LEFT(G7,4),MID(G7,6,2),RIGHT(G7,2))</f>
        <v>46183</v>
      </c>
      <c r="I7" s="17" t="s">
        <v>30</v>
      </c>
      <c r="J7" s="17" t="s">
        <v>31</v>
      </c>
      <c r="K7" s="19">
        <v>6</v>
      </c>
      <c r="L7" s="20">
        <v>1200</v>
      </c>
      <c r="M7" s="21">
        <v>1</v>
      </c>
      <c r="N7" s="26">
        <f>IF(TblOp[[#This Row],[Status]]="Completed",0,DATE(2026,7,15)-TblOp[[#This Row],[Due Date]])</f>
        <v>0</v>
      </c>
      <c r="O7" s="26" t="str">
        <f>IF(TblOp[[#This Row],[Hours Spent]]*50&gt;TblOp[[#This Row],[Budget ($)]],"Over Budget","OK")</f>
        <v>OK</v>
      </c>
      <c r="P7" s="26">
        <f>TblOp[[#This Row],[Due Date]]-TblOp[[#This Row],[Start Date]]</f>
        <v>7</v>
      </c>
    </row>
    <row r="8" ht="28.5" spans="2:19">
      <c r="B8" s="15" t="s">
        <v>32</v>
      </c>
      <c r="C8" s="17" t="s">
        <v>33</v>
      </c>
      <c r="D8" s="17" t="s">
        <v>34</v>
      </c>
      <c r="E8" s="17" t="s">
        <v>35</v>
      </c>
      <c r="F8" s="18">
        <f t="shared" si="0"/>
        <v>46178</v>
      </c>
      <c r="G8" s="17" t="s">
        <v>36</v>
      </c>
      <c r="H8" s="18">
        <f t="shared" si="1"/>
        <v>46193</v>
      </c>
      <c r="I8" s="17" t="s">
        <v>37</v>
      </c>
      <c r="J8" s="17" t="s">
        <v>24</v>
      </c>
      <c r="K8" s="19">
        <v>15</v>
      </c>
      <c r="L8" s="20">
        <v>7800</v>
      </c>
      <c r="M8" s="21">
        <v>0.4</v>
      </c>
      <c r="N8" s="26">
        <f>IF(TblOp[[#This Row],[Status]]="Completed",0,DATE(2026,7,15)-TblOp[[#This Row],[Due Date]])</f>
        <v>25</v>
      </c>
      <c r="O8" s="26" t="str">
        <f>IF(TblOp[[#This Row],[Hours Spent]]*50&gt;TblOp[[#This Row],[Budget ($)]],"Over Budget","OK")</f>
        <v>OK</v>
      </c>
      <c r="P8" s="26">
        <f>TblOp[[#This Row],[Due Date]]-TblOp[[#This Row],[Start Date]]</f>
        <v>15</v>
      </c>
    </row>
    <row r="9" spans="2:19">
      <c r="B9" s="15" t="s">
        <v>38</v>
      </c>
      <c r="C9" s="17" t="s">
        <v>39</v>
      </c>
      <c r="D9" s="17" t="s">
        <v>40</v>
      </c>
      <c r="E9" s="17" t="s">
        <v>41</v>
      </c>
      <c r="F9" s="18">
        <f t="shared" si="0"/>
        <v>46175</v>
      </c>
      <c r="G9" s="17" t="s">
        <v>42</v>
      </c>
      <c r="H9" s="18">
        <f t="shared" si="1"/>
        <v>46180</v>
      </c>
      <c r="I9" s="17" t="s">
        <v>30</v>
      </c>
      <c r="J9" s="17" t="s">
        <v>43</v>
      </c>
      <c r="K9" s="19">
        <v>3</v>
      </c>
      <c r="L9" s="19">
        <v>350</v>
      </c>
      <c r="M9" s="21">
        <v>1</v>
      </c>
      <c r="N9" s="26">
        <f>IF(TblOp[[#This Row],[Status]]="Completed",0,DATE(2026,7,15)-TblOp[[#This Row],[Due Date]])</f>
        <v>0</v>
      </c>
      <c r="O9" s="26" t="str">
        <f>IF(TblOp[[#This Row],[Hours Spent]]*50&gt;TblOp[[#This Row],[Budget ($)]],"Over Budget","OK")</f>
        <v>OK</v>
      </c>
      <c r="P9" s="26">
        <f>TblOp[[#This Row],[Due Date]]-TblOp[[#This Row],[Start Date]]</f>
        <v>5</v>
      </c>
    </row>
    <row r="10" spans="2:19">
      <c r="B10" s="15" t="s">
        <v>18</v>
      </c>
      <c r="C10" s="17" t="s">
        <v>44</v>
      </c>
      <c r="D10" s="17" t="s">
        <v>20</v>
      </c>
      <c r="E10" s="17" t="s">
        <v>29</v>
      </c>
      <c r="F10" s="18">
        <f t="shared" si="0"/>
        <v>46183</v>
      </c>
      <c r="G10" s="17" t="s">
        <v>45</v>
      </c>
      <c r="H10" s="18">
        <f t="shared" si="1"/>
        <v>46198</v>
      </c>
      <c r="I10" s="17" t="s">
        <v>23</v>
      </c>
      <c r="J10" s="17" t="s">
        <v>24</v>
      </c>
      <c r="K10" s="19">
        <v>8</v>
      </c>
      <c r="L10" s="20">
        <v>5200</v>
      </c>
      <c r="M10" s="21">
        <v>0.5</v>
      </c>
      <c r="N10" s="26">
        <f>IF(TblOp[[#This Row],[Status]]="Completed",0,DATE(2026,7,15)-TblOp[[#This Row],[Due Date]])</f>
        <v>20</v>
      </c>
      <c r="O10" s="26" t="str">
        <f>IF(TblOp[[#This Row],[Hours Spent]]*50&gt;TblOp[[#This Row],[Budget ($)]],"Over Budget","OK")</f>
        <v>OK</v>
      </c>
      <c r="P10" s="26">
        <f>TblOp[[#This Row],[Due Date]]-TblOp[[#This Row],[Start Date]]</f>
        <v>15</v>
      </c>
    </row>
    <row r="11" ht="28.5" spans="2:19">
      <c r="B11" s="15" t="s">
        <v>25</v>
      </c>
      <c r="C11" s="17" t="s">
        <v>46</v>
      </c>
      <c r="D11" s="17" t="s">
        <v>27</v>
      </c>
      <c r="E11" s="17" t="s">
        <v>47</v>
      </c>
      <c r="F11" s="18">
        <f t="shared" si="0"/>
        <v>46185</v>
      </c>
      <c r="G11" s="17" t="s">
        <v>48</v>
      </c>
      <c r="H11" s="18">
        <f t="shared" si="1"/>
        <v>46191</v>
      </c>
      <c r="I11" s="17" t="s">
        <v>49</v>
      </c>
      <c r="J11" s="17" t="s">
        <v>31</v>
      </c>
      <c r="K11" s="19">
        <v>0</v>
      </c>
      <c r="L11" s="19">
        <v>900</v>
      </c>
      <c r="M11" s="21">
        <v>0</v>
      </c>
      <c r="N11" s="26">
        <f>IF(TblOp[[#This Row],[Status]]="Completed",0,DATE(2026,7,15)-TblOp[[#This Row],[Due Date]])</f>
        <v>27</v>
      </c>
      <c r="O11" s="26" t="str">
        <f>IF(TblOp[[#This Row],[Hours Spent]]*50&gt;TblOp[[#This Row],[Budget ($)]],"Over Budget","OK")</f>
        <v>OK</v>
      </c>
      <c r="P11" s="26">
        <f>TblOp[[#This Row],[Due Date]]-TblOp[[#This Row],[Start Date]]</f>
        <v>6</v>
      </c>
    </row>
    <row r="12" spans="2:19">
      <c r="B12" s="15" t="s">
        <v>32</v>
      </c>
      <c r="C12" s="17" t="s">
        <v>50</v>
      </c>
      <c r="D12" s="17" t="s">
        <v>34</v>
      </c>
      <c r="E12" s="17" t="s">
        <v>51</v>
      </c>
      <c r="F12" s="18">
        <f t="shared" si="0"/>
        <v>46188</v>
      </c>
      <c r="G12" s="17" t="s">
        <v>52</v>
      </c>
      <c r="H12" s="18">
        <f t="shared" si="1"/>
        <v>46203</v>
      </c>
      <c r="I12" s="17" t="s">
        <v>23</v>
      </c>
      <c r="J12" s="17" t="s">
        <v>24</v>
      </c>
      <c r="K12" s="19">
        <v>5</v>
      </c>
      <c r="L12" s="20">
        <v>3600</v>
      </c>
      <c r="M12" s="21">
        <v>0.2</v>
      </c>
      <c r="N12" s="26">
        <f>IF(TblOp[[#This Row],[Status]]="Completed",0,DATE(2026,7,15)-TblOp[[#This Row],[Due Date]])</f>
        <v>15</v>
      </c>
      <c r="O12" s="26" t="str">
        <f>IF(TblOp[[#This Row],[Hours Spent]]*50&gt;TblOp[[#This Row],[Budget ($)]],"Over Budget","OK")</f>
        <v>OK</v>
      </c>
      <c r="P12" s="26">
        <f>TblOp[[#This Row],[Due Date]]-TblOp[[#This Row],[Start Date]]</f>
        <v>15</v>
      </c>
    </row>
    <row r="13" ht="28.5" spans="2:19">
      <c r="B13" s="15" t="s">
        <v>38</v>
      </c>
      <c r="C13" s="17" t="s">
        <v>53</v>
      </c>
      <c r="D13" s="17" t="s">
        <v>40</v>
      </c>
      <c r="E13" s="17" t="s">
        <v>21</v>
      </c>
      <c r="F13" s="18">
        <f t="shared" si="0"/>
        <v>46174</v>
      </c>
      <c r="G13" s="17" t="s">
        <v>28</v>
      </c>
      <c r="H13" s="18">
        <f t="shared" si="1"/>
        <v>46176</v>
      </c>
      <c r="I13" s="17" t="s">
        <v>30</v>
      </c>
      <c r="J13" s="17" t="s">
        <v>43</v>
      </c>
      <c r="K13" s="19">
        <v>2</v>
      </c>
      <c r="L13" s="19">
        <v>150</v>
      </c>
      <c r="M13" s="21">
        <v>1</v>
      </c>
      <c r="N13" s="26">
        <f>IF(TblOp[[#This Row],[Status]]="Completed",0,DATE(2026,7,15)-TblOp[[#This Row],[Due Date]])</f>
        <v>0</v>
      </c>
      <c r="O13" s="26" t="str">
        <f>IF(TblOp[[#This Row],[Hours Spent]]*50&gt;TblOp[[#This Row],[Budget ($)]],"Over Budget","OK")</f>
        <v>OK</v>
      </c>
      <c r="P13" s="26">
        <f>TblOp[[#This Row],[Due Date]]-TblOp[[#This Row],[Start Date]]</f>
        <v>2</v>
      </c>
    </row>
    <row r="16" ht="23.25" spans="2:19">
      <c r="B16" s="27" t="s">
        <v>0</v>
      </c>
      <c r="C16" s="28"/>
      <c r="D16" s="28"/>
      <c r="E16" s="28"/>
      <c r="F16" s="28"/>
      <c r="G16" s="28"/>
      <c r="H16" s="28"/>
      <c r="I16" s="28"/>
      <c r="J16" s="28"/>
      <c r="K16" s="28"/>
      <c r="L16" s="28"/>
      <c r="M16" s="28"/>
      <c r="N16" s="28"/>
      <c r="O16" s="28"/>
      <c r="P16" s="28"/>
      <c r="Q16" s="28"/>
      <c r="R16" s="28"/>
      <c r="S16" s="28"/>
    </row>
    <row r="17" ht="21" spans="2:19">
      <c r="B17" s="28"/>
      <c r="C17" s="28"/>
      <c r="D17" s="28"/>
      <c r="E17" s="28"/>
      <c r="F17" s="28"/>
      <c r="G17" s="28"/>
      <c r="H17" s="28"/>
      <c r="I17" s="28"/>
      <c r="J17" s="28"/>
      <c r="K17" s="28"/>
      <c r="L17" s="28"/>
      <c r="M17" s="28"/>
      <c r="N17" s="28"/>
      <c r="O17" s="28"/>
      <c r="P17" s="28"/>
      <c r="Q17" s="28"/>
      <c r="R17" s="28"/>
      <c r="S17" s="28"/>
    </row>
    <row r="18" ht="21" spans="2:19">
      <c r="B18" t="s">
        <v>10</v>
      </c>
      <c r="C18" t="s">
        <v>54</v>
      </c>
      <c r="D18" s="28"/>
      <c r="E18" s="28"/>
      <c r="F18" s="28"/>
      <c r="G18" s="28"/>
      <c r="H18" s="28"/>
      <c r="I18" t="s">
        <v>3</v>
      </c>
      <c r="J18" t="s">
        <v>55</v>
      </c>
      <c r="K18" s="28"/>
      <c r="L18" s="28"/>
      <c r="M18" s="28"/>
      <c r="N18" t="s">
        <v>5</v>
      </c>
      <c r="O18" t="s">
        <v>56</v>
      </c>
      <c r="P18" t="s">
        <v>55</v>
      </c>
      <c r="Q18" s="28"/>
      <c r="R18" s="28"/>
      <c r="S18" s="28"/>
    </row>
    <row r="19" ht="21" spans="2:19">
      <c r="B19" t="s">
        <v>30</v>
      </c>
      <c r="C19">
        <v>3</v>
      </c>
      <c r="D19" s="28"/>
      <c r="E19" s="28"/>
      <c r="F19" s="28"/>
      <c r="G19" s="28"/>
      <c r="H19" s="28"/>
      <c r="I19" t="s">
        <v>38</v>
      </c>
      <c r="J19">
        <v>5</v>
      </c>
      <c r="K19" s="28"/>
      <c r="L19" s="28"/>
      <c r="M19" s="28"/>
      <c r="N19" t="s">
        <v>20</v>
      </c>
      <c r="O19">
        <v>9700</v>
      </c>
      <c r="P19">
        <v>20</v>
      </c>
      <c r="Q19" s="28"/>
      <c r="R19" s="28"/>
      <c r="S19" s="28"/>
    </row>
    <row r="20" ht="21" spans="2:19">
      <c r="B20" t="s">
        <v>37</v>
      </c>
      <c r="C20">
        <v>1</v>
      </c>
      <c r="D20" s="28"/>
      <c r="E20" s="28"/>
      <c r="F20" s="28"/>
      <c r="G20" s="28"/>
      <c r="H20" s="28"/>
      <c r="I20" t="s">
        <v>18</v>
      </c>
      <c r="J20">
        <v>20</v>
      </c>
      <c r="K20" s="28"/>
      <c r="L20" s="28"/>
      <c r="M20" s="28"/>
      <c r="N20" t="s">
        <v>40</v>
      </c>
      <c r="O20">
        <v>500</v>
      </c>
      <c r="P20">
        <v>5</v>
      </c>
      <c r="Q20" s="28"/>
      <c r="R20" s="28"/>
      <c r="S20" s="28"/>
    </row>
    <row r="21" ht="21" spans="2:19">
      <c r="B21" t="s">
        <v>23</v>
      </c>
      <c r="C21">
        <v>3</v>
      </c>
      <c r="D21" s="28"/>
      <c r="E21" s="28"/>
      <c r="F21" s="28"/>
      <c r="G21" s="28"/>
      <c r="H21" s="28"/>
      <c r="I21" t="s">
        <v>25</v>
      </c>
      <c r="J21">
        <v>6</v>
      </c>
      <c r="K21" s="28"/>
      <c r="L21" s="28"/>
      <c r="M21" s="28"/>
      <c r="N21" t="s">
        <v>34</v>
      </c>
      <c r="O21">
        <v>11400</v>
      </c>
      <c r="P21">
        <v>20</v>
      </c>
      <c r="Q21" s="28"/>
      <c r="R21" s="28"/>
      <c r="S21" s="28"/>
    </row>
    <row r="22" ht="21" spans="2:19">
      <c r="B22" t="s">
        <v>49</v>
      </c>
      <c r="C22">
        <v>1</v>
      </c>
      <c r="D22" s="28"/>
      <c r="E22" s="28"/>
      <c r="F22" s="28"/>
      <c r="G22" s="28"/>
      <c r="H22" s="28"/>
      <c r="I22" t="s">
        <v>32</v>
      </c>
      <c r="J22">
        <v>20</v>
      </c>
      <c r="K22" s="28"/>
      <c r="L22" s="28"/>
      <c r="M22" s="28"/>
      <c r="N22" t="s">
        <v>27</v>
      </c>
      <c r="O22">
        <v>2100</v>
      </c>
      <c r="P22">
        <v>6</v>
      </c>
      <c r="Q22" s="28"/>
      <c r="R22" s="28"/>
      <c r="S22" s="28"/>
    </row>
    <row r="23" ht="21" spans="2:19">
      <c r="B23" t="s">
        <v>57</v>
      </c>
      <c r="C23">
        <v>8</v>
      </c>
      <c r="D23" s="28"/>
      <c r="E23" s="28"/>
      <c r="F23" s="28"/>
      <c r="G23" s="28"/>
      <c r="H23" s="28"/>
      <c r="I23" t="s">
        <v>57</v>
      </c>
      <c r="J23">
        <v>51</v>
      </c>
      <c r="K23" s="28"/>
      <c r="L23" s="28"/>
      <c r="M23" s="28"/>
      <c r="N23" t="s">
        <v>57</v>
      </c>
      <c r="O23">
        <v>23700</v>
      </c>
      <c r="P23">
        <v>51</v>
      </c>
      <c r="Q23" s="28"/>
      <c r="R23" s="28"/>
      <c r="S23" s="28"/>
    </row>
    <row r="24" ht="21" spans="2:19">
      <c r="B24" s="28"/>
      <c r="C24" s="28"/>
      <c r="D24" s="28"/>
      <c r="E24" s="28"/>
      <c r="F24" s="28"/>
      <c r="G24" s="28"/>
      <c r="H24" s="28"/>
      <c r="I24" s="28"/>
      <c r="J24" s="28"/>
      <c r="K24" s="28"/>
      <c r="L24" s="28"/>
      <c r="M24" s="28"/>
      <c r="N24" s="28"/>
      <c r="O24" s="28"/>
      <c r="P24" s="28"/>
      <c r="Q24" s="28"/>
      <c r="R24" s="28"/>
      <c r="S24" s="28"/>
    </row>
    <row r="25" spans="2:19">
      <c r="B25" s="28" t="s">
        <v>58</v>
      </c>
      <c r="C25" s="28"/>
      <c r="D25" s="28"/>
      <c r="E25" s="28"/>
      <c r="F25" s="28"/>
      <c r="G25" s="28"/>
      <c r="H25" s="28"/>
      <c r="I25" s="28"/>
      <c r="J25" s="28"/>
      <c r="K25" s="28"/>
      <c r="L25" s="28"/>
      <c r="M25" s="28"/>
      <c r="N25" s="28"/>
      <c r="O25" s="28"/>
      <c r="P25" s="28"/>
      <c r="Q25" s="28"/>
      <c r="R25" s="28"/>
      <c r="S25" s="28"/>
    </row>
    <row r="26" spans="2:19">
      <c r="B26" s="28"/>
      <c r="C26" s="28"/>
      <c r="D26" s="28"/>
      <c r="E26" s="28"/>
      <c r="F26" s="28"/>
      <c r="G26" s="28"/>
      <c r="H26" s="28"/>
      <c r="I26" s="28"/>
      <c r="J26" s="28"/>
      <c r="K26" s="28"/>
      <c r="L26" s="28"/>
      <c r="M26" s="28"/>
      <c r="N26" s="28"/>
      <c r="O26" s="28"/>
      <c r="P26" s="28"/>
      <c r="Q26" s="28"/>
      <c r="R26" s="28"/>
      <c r="S26" s="28"/>
    </row>
    <row r="27" spans="2:19">
      <c r="B27" s="28"/>
      <c r="C27" s="28"/>
      <c r="D27" s="28"/>
      <c r="E27" s="28"/>
      <c r="F27" s="28"/>
      <c r="G27" s="28"/>
      <c r="H27" s="28"/>
      <c r="I27" s="28"/>
      <c r="J27" s="28"/>
      <c r="K27" s="28"/>
      <c r="L27" s="28"/>
      <c r="M27" s="28"/>
      <c r="N27" s="28"/>
      <c r="O27" s="28"/>
      <c r="P27" s="28"/>
      <c r="Q27" s="28"/>
      <c r="R27" s="28"/>
      <c r="S27" s="28"/>
    </row>
    <row r="28" spans="2:19">
      <c r="B28" s="28"/>
      <c r="C28" s="28"/>
      <c r="D28" s="28"/>
      <c r="E28" s="28"/>
      <c r="F28" s="28"/>
      <c r="G28" s="28"/>
      <c r="H28" s="28"/>
      <c r="I28" s="28"/>
      <c r="J28" s="28"/>
      <c r="K28" s="28"/>
      <c r="L28" s="28"/>
      <c r="M28" s="28"/>
      <c r="N28" s="28"/>
      <c r="O28" s="28"/>
      <c r="P28" s="28"/>
      <c r="Q28" s="28"/>
      <c r="R28" s="28"/>
      <c r="S28" s="28"/>
    </row>
    <row r="29" spans="2:19">
      <c r="B29" s="28"/>
      <c r="C29" s="28"/>
      <c r="D29" s="28"/>
      <c r="E29" s="28"/>
      <c r="F29" s="28"/>
      <c r="G29" s="28"/>
      <c r="H29" s="28"/>
      <c r="I29" s="28"/>
      <c r="J29" s="28"/>
      <c r="K29" s="28"/>
      <c r="L29" s="28"/>
      <c r="M29" s="28"/>
      <c r="N29" s="28"/>
      <c r="O29" s="28"/>
      <c r="P29" s="28"/>
      <c r="Q29" s="28"/>
      <c r="R29" s="28"/>
      <c r="S29" s="28"/>
    </row>
    <row r="30" spans="2:19">
      <c r="B30" s="28"/>
      <c r="C30" s="28"/>
      <c r="D30" s="28"/>
      <c r="E30" s="28"/>
      <c r="F30" s="28"/>
      <c r="G30" s="28"/>
      <c r="H30" s="28"/>
      <c r="I30" s="28"/>
      <c r="J30" s="28"/>
      <c r="K30" s="28"/>
      <c r="L30" s="28"/>
      <c r="M30" s="28"/>
      <c r="N30" s="28"/>
      <c r="O30" s="28"/>
      <c r="P30" s="28"/>
      <c r="Q30" s="28"/>
      <c r="R30" s="28"/>
      <c r="S30" s="28"/>
    </row>
    <row r="31" spans="2:19">
      <c r="B31" s="28"/>
      <c r="C31" s="28"/>
      <c r="D31" s="28"/>
      <c r="E31" s="28"/>
      <c r="F31" s="28"/>
      <c r="G31" s="28"/>
      <c r="H31" s="28"/>
      <c r="I31" s="28"/>
      <c r="J31" s="28"/>
      <c r="K31" s="28"/>
      <c r="L31" s="28"/>
      <c r="M31" s="28"/>
      <c r="N31" s="28"/>
      <c r="O31" s="28"/>
      <c r="P31" s="28"/>
      <c r="Q31" s="28"/>
      <c r="R31" s="28"/>
      <c r="S31" s="28"/>
    </row>
    <row r="32" spans="2:19">
      <c r="B32" s="28"/>
      <c r="C32" s="28"/>
      <c r="D32" s="28"/>
      <c r="E32" s="28"/>
      <c r="F32" s="28"/>
      <c r="G32" s="28"/>
      <c r="H32" s="28"/>
      <c r="I32" s="28"/>
      <c r="J32" s="28"/>
      <c r="K32" s="28"/>
      <c r="L32" s="28"/>
      <c r="M32" s="28"/>
      <c r="N32" s="28"/>
      <c r="O32" s="28"/>
      <c r="P32" s="28"/>
      <c r="Q32" s="28"/>
      <c r="R32" s="28"/>
      <c r="S32" s="28"/>
    </row>
    <row r="33" spans="2:19">
      <c r="B33" s="28"/>
      <c r="C33" s="28"/>
      <c r="D33" s="28"/>
      <c r="E33" s="28"/>
      <c r="F33" s="28"/>
      <c r="G33" s="28"/>
      <c r="H33" s="28"/>
      <c r="I33" s="28"/>
      <c r="J33" s="28"/>
      <c r="K33" s="28"/>
      <c r="L33" s="28"/>
      <c r="M33" s="28"/>
      <c r="N33" s="28"/>
      <c r="O33" s="28"/>
      <c r="P33" s="28"/>
      <c r="Q33" s="28"/>
      <c r="R33" s="28"/>
      <c r="S33" s="28"/>
    </row>
    <row r="34" spans="2:19">
      <c r="B34" s="28"/>
      <c r="C34" s="28"/>
      <c r="D34" s="28"/>
      <c r="E34" s="28"/>
      <c r="F34" s="28"/>
      <c r="G34" s="28"/>
      <c r="H34" s="28"/>
      <c r="I34" s="28"/>
      <c r="J34" s="28"/>
      <c r="K34" s="28"/>
      <c r="L34" s="28"/>
      <c r="M34" s="28"/>
      <c r="N34" s="28"/>
      <c r="O34" s="28"/>
      <c r="P34" s="28"/>
      <c r="Q34" s="28"/>
      <c r="R34" s="28"/>
      <c r="S34" s="28"/>
    </row>
    <row r="35" spans="2:19">
      <c r="B35" s="28"/>
      <c r="C35" s="28"/>
      <c r="D35" s="28"/>
      <c r="E35" s="28"/>
      <c r="F35" s="28"/>
      <c r="G35" s="28"/>
      <c r="H35" s="28"/>
      <c r="I35" s="28"/>
      <c r="J35" s="28"/>
      <c r="K35" s="28"/>
      <c r="L35" s="28"/>
      <c r="M35" s="28"/>
      <c r="N35" s="28"/>
      <c r="O35" s="28"/>
      <c r="P35" s="28"/>
      <c r="Q35" s="28"/>
      <c r="R35" s="28"/>
      <c r="S35" s="28"/>
    </row>
    <row r="36" spans="2:19">
      <c r="B36" s="28"/>
      <c r="C36" s="28"/>
      <c r="D36" s="28"/>
      <c r="E36" s="28"/>
      <c r="F36" s="28"/>
      <c r="G36" s="28"/>
      <c r="H36" s="28"/>
      <c r="I36" s="28"/>
      <c r="J36" s="28"/>
      <c r="K36" s="28"/>
      <c r="L36" s="28"/>
      <c r="M36" s="28"/>
      <c r="N36" s="28"/>
      <c r="O36" s="28"/>
      <c r="P36" s="28"/>
      <c r="Q36" s="28"/>
      <c r="R36" s="28"/>
      <c r="S36" s="28"/>
    </row>
    <row r="37" spans="2:19">
      <c r="B37" s="28"/>
      <c r="C37" s="28"/>
      <c r="D37" s="28"/>
      <c r="E37" s="28"/>
      <c r="F37" s="28"/>
      <c r="G37" s="28"/>
      <c r="H37" s="28"/>
      <c r="I37" s="28"/>
      <c r="J37" s="28"/>
      <c r="K37" s="28"/>
      <c r="L37" s="28"/>
      <c r="M37" s="28"/>
      <c r="N37" s="28"/>
      <c r="O37" s="28"/>
      <c r="P37" s="28"/>
      <c r="Q37" s="28"/>
      <c r="R37" s="28"/>
      <c r="S37" s="28"/>
    </row>
    <row r="38" spans="2:19">
      <c r="B38" s="28"/>
      <c r="C38" s="28"/>
      <c r="D38" s="28"/>
      <c r="E38" s="28"/>
      <c r="F38" s="28"/>
      <c r="G38" s="28"/>
      <c r="H38" s="28"/>
      <c r="I38" s="28"/>
      <c r="J38" s="28"/>
      <c r="K38" s="28"/>
      <c r="L38" s="28"/>
      <c r="M38" s="28"/>
      <c r="N38" s="28"/>
      <c r="O38" s="28"/>
      <c r="P38" s="28"/>
      <c r="Q38" s="28"/>
      <c r="R38" s="28"/>
      <c r="S38" s="28"/>
    </row>
    <row r="39" spans="2:19">
      <c r="B39" s="28"/>
      <c r="C39" s="28"/>
      <c r="D39" s="28"/>
      <c r="E39" s="28"/>
      <c r="F39" s="28"/>
      <c r="G39" s="28"/>
      <c r="H39" s="28"/>
      <c r="I39" s="28"/>
      <c r="J39" s="28"/>
      <c r="K39" s="28"/>
      <c r="L39" s="28"/>
      <c r="M39" s="28"/>
      <c r="N39" s="28"/>
      <c r="O39" s="28"/>
      <c r="P39" s="28"/>
      <c r="Q39" s="28"/>
      <c r="R39" s="28"/>
      <c r="S39" s="28"/>
    </row>
    <row r="40" spans="2:19">
      <c r="B40" s="28"/>
      <c r="C40" s="28"/>
      <c r="D40" s="28"/>
      <c r="E40" s="28"/>
      <c r="F40" s="28"/>
      <c r="G40" s="28"/>
      <c r="H40" s="28"/>
      <c r="I40" s="28"/>
      <c r="J40" s="28"/>
      <c r="K40" s="28"/>
      <c r="L40" s="28"/>
      <c r="M40" s="28"/>
      <c r="N40" s="28"/>
      <c r="O40" s="28"/>
      <c r="P40" s="28"/>
      <c r="Q40" s="28"/>
      <c r="R40" s="28"/>
      <c r="S40" s="28"/>
    </row>
    <row r="41" spans="2:19">
      <c r="B41" s="28"/>
      <c r="C41" s="28"/>
      <c r="D41" s="28"/>
      <c r="E41" s="28"/>
      <c r="F41" s="28"/>
      <c r="G41" s="28"/>
      <c r="H41" s="28"/>
      <c r="I41" s="28"/>
      <c r="J41" s="28"/>
      <c r="K41" s="28"/>
      <c r="L41" s="28"/>
      <c r="M41" s="28"/>
      <c r="N41" s="28"/>
      <c r="O41" s="28"/>
      <c r="P41" s="28"/>
      <c r="Q41" s="28"/>
      <c r="R41" s="28"/>
      <c r="S41" s="28"/>
    </row>
    <row r="42" spans="2:19">
      <c r="B42" s="28"/>
      <c r="C42" s="28"/>
      <c r="D42" s="28"/>
      <c r="E42" s="28"/>
      <c r="F42" s="28"/>
      <c r="G42" s="28"/>
      <c r="H42" s="28"/>
      <c r="I42" s="28"/>
      <c r="J42" s="28"/>
      <c r="K42" s="28"/>
      <c r="L42" s="28"/>
      <c r="M42" s="28"/>
      <c r="N42" s="28"/>
      <c r="O42" s="28"/>
      <c r="P42" s="28"/>
      <c r="Q42" s="28"/>
      <c r="R42" s="28"/>
      <c r="S42" s="28"/>
    </row>
    <row r="43" spans="2:19">
      <c r="B43" s="28"/>
      <c r="C43" s="28"/>
      <c r="D43" s="28"/>
      <c r="E43" s="28"/>
      <c r="F43" s="28"/>
      <c r="G43" s="28"/>
      <c r="H43" s="28"/>
      <c r="I43" s="28"/>
      <c r="J43" s="28"/>
      <c r="K43" s="28"/>
      <c r="L43" s="28"/>
      <c r="M43" s="28"/>
      <c r="N43" s="28"/>
      <c r="O43" s="28"/>
      <c r="P43" s="28"/>
      <c r="Q43" s="28"/>
      <c r="R43" s="28"/>
      <c r="S43" s="28"/>
    </row>
    <row r="44" spans="2:19">
      <c r="B44" s="28"/>
      <c r="C44" s="28"/>
      <c r="D44" s="28"/>
      <c r="E44" s="28"/>
      <c r="F44" s="28"/>
      <c r="G44" s="28"/>
      <c r="H44" s="28"/>
      <c r="I44" s="28"/>
      <c r="J44" s="28"/>
      <c r="K44" s="28"/>
      <c r="L44" s="28"/>
      <c r="M44" s="28"/>
      <c r="N44" s="28"/>
      <c r="O44" s="28"/>
      <c r="P44" s="28"/>
      <c r="Q44" s="28"/>
      <c r="R44" s="28"/>
      <c r="S44" s="28"/>
    </row>
    <row r="45" spans="2:19">
      <c r="B45" s="28"/>
      <c r="C45" s="28"/>
      <c r="D45" s="28"/>
      <c r="E45" s="28"/>
      <c r="F45" s="28"/>
      <c r="G45" s="28"/>
      <c r="H45" s="28"/>
      <c r="I45" s="28"/>
      <c r="J45" s="28"/>
      <c r="K45" s="28"/>
      <c r="L45" s="28"/>
      <c r="M45" s="28"/>
      <c r="N45" s="28"/>
      <c r="O45" s="28"/>
      <c r="P45" s="28"/>
      <c r="Q45" s="28"/>
      <c r="R45" s="28"/>
      <c r="S45" s="28"/>
    </row>
    <row r="46" spans="2:19">
      <c r="B46" s="28"/>
      <c r="C46" s="28"/>
      <c r="D46" s="28"/>
      <c r="E46" s="28"/>
      <c r="F46" s="28"/>
      <c r="G46" s="28"/>
      <c r="H46" s="28"/>
      <c r="I46" s="28"/>
      <c r="J46" s="28"/>
      <c r="K46" s="28"/>
      <c r="L46" s="28"/>
      <c r="M46" s="28"/>
      <c r="N46" s="28"/>
      <c r="O46" s="28"/>
      <c r="P46" s="28"/>
      <c r="Q46" s="28"/>
      <c r="R46" s="28"/>
      <c r="S46" s="28"/>
    </row>
    <row r="47" spans="2:19">
      <c r="B47" s="28"/>
      <c r="C47" s="28"/>
      <c r="D47" s="28"/>
      <c r="E47" s="28"/>
      <c r="F47" s="28"/>
      <c r="G47" s="28"/>
      <c r="H47" s="28"/>
      <c r="I47" s="28"/>
      <c r="J47" s="28"/>
      <c r="K47" s="28"/>
      <c r="L47" s="28"/>
      <c r="M47" s="28"/>
      <c r="N47" s="28"/>
      <c r="O47" s="28"/>
      <c r="P47" s="28"/>
      <c r="Q47" s="28"/>
      <c r="R47" s="28"/>
      <c r="S47" s="28"/>
    </row>
    <row r="48" spans="2:19">
      <c r="B48" s="28"/>
      <c r="C48" s="28"/>
      <c r="D48" s="28"/>
      <c r="E48" s="28"/>
      <c r="F48" s="28"/>
      <c r="G48" s="28"/>
      <c r="H48" s="28"/>
      <c r="I48" s="28"/>
      <c r="J48" s="28"/>
      <c r="K48" s="28"/>
      <c r="L48" s="28"/>
      <c r="M48" s="28"/>
      <c r="N48" s="28"/>
      <c r="O48" s="28"/>
      <c r="P48" s="28"/>
      <c r="Q48" s="28"/>
      <c r="R48" s="28"/>
      <c r="S48" s="28"/>
    </row>
    <row r="49" spans="2:19">
      <c r="B49" s="28"/>
      <c r="C49" s="28"/>
      <c r="D49" s="28"/>
      <c r="E49" s="28"/>
      <c r="F49" s="28"/>
      <c r="G49" s="28"/>
      <c r="H49" s="28"/>
      <c r="I49" s="28"/>
      <c r="J49" s="28"/>
      <c r="K49" s="28"/>
      <c r="L49" s="28"/>
      <c r="M49" s="28"/>
      <c r="N49" s="28"/>
      <c r="O49" s="28"/>
      <c r="P49" s="28"/>
      <c r="Q49" s="28"/>
      <c r="R49" s="28"/>
      <c r="S49" s="28"/>
    </row>
    <row r="50" spans="2:19">
      <c r="B50" s="28"/>
      <c r="C50" s="28"/>
      <c r="D50" s="28"/>
      <c r="E50" s="28"/>
      <c r="F50" s="28"/>
      <c r="G50" s="28"/>
      <c r="H50" s="28"/>
      <c r="I50" s="28"/>
      <c r="J50" s="28"/>
      <c r="K50" s="28"/>
      <c r="L50" s="28"/>
      <c r="M50" s="28"/>
      <c r="N50" s="28"/>
      <c r="O50" s="28"/>
      <c r="P50" s="28"/>
      <c r="Q50" s="28"/>
      <c r="R50" s="28"/>
      <c r="S50" s="28"/>
    </row>
  </sheetData>
  <mergeCells count="1">
    <mergeCell ref="B25:S50"/>
  </mergeCells>
  <conditionalFormatting sqref="I1:I17 I24 I51:I1048576">
    <cfRule type="containsText" dxfId="15" priority="5" operator="between" text="Not Started">
      <formula>NOT(ISERROR(SEARCH("Not Started",I1)))</formula>
    </cfRule>
    <cfRule type="containsText" dxfId="16" priority="6" operator="between" text="In Progress">
      <formula>NOT(ISERROR(SEARCH("In Progress",I1)))</formula>
    </cfRule>
    <cfRule type="containsText" dxfId="17" priority="7" operator="between" text="Delayed">
      <formula>NOT(ISERROR(SEARCH("Delayed",I1)))</formula>
    </cfRule>
    <cfRule type="containsText" dxfId="18" priority="8" operator="between" text="Completed">
      <formula>NOT(ISERROR(SEARCH("Completed",I1)))</formula>
    </cfRule>
  </conditionalFormatting>
  <conditionalFormatting sqref="J1:J17 J24 J51:J1048576">
    <cfRule type="cellIs" dxfId="19" priority="2" operator="equal">
      <formula>"Low"</formula>
    </cfRule>
    <cfRule type="cellIs" dxfId="20" priority="3" operator="equal">
      <formula>"Medium"</formula>
    </cfRule>
    <cfRule type="cellIs" dxfId="21" priority="4" operator="equal">
      <formula>"High"</formula>
    </cfRule>
  </conditionalFormatting>
  <conditionalFormatting sqref="M1:M24 M51:M1048576">
    <cfRule type="dataBar" priority="1">
      <dataBar>
        <cfvo type="min"/>
        <cfvo type="max"/>
        <color rgb="FF638EC6"/>
      </dataBar>
      <extLst>
        <ext xmlns:x14="http://schemas.microsoft.com/office/spreadsheetml/2009/9/main" uri="{B025F937-C7B1-47D3-B67F-A62EFF666E3E}">
          <x14:id>{7cbd094e-36ec-466e-bce1-7cb8f4ccb670}</x14:id>
        </ext>
      </extLst>
    </cfRule>
  </conditionalFormatting>
  <dataValidations count="1">
    <dataValidation type="list" allowBlank="1" showInputMessage="1" showErrorMessage="1" error="Choose from the list" sqref="I6:I13">
      <formula1>"Completed, In Progress, Delayed, Not Started"</formula1>
    </dataValidation>
  </dataValidations>
  <pageMargins left="0.75" right="0.75" top="1" bottom="1" header="0.5" footer="0.5"/>
  <headerFooter/>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7cbd094e-36ec-466e-bce1-7cb8f4ccb670}">
            <x14:dataBar minLength="0" maxLength="100" border="1" negativeBarBorderColorSameAsPositive="0">
              <x14:cfvo type="autoMin"/>
              <x14:cfvo type="autoMax"/>
              <x14:borderColor rgb="FF638EC6"/>
              <x14:negativeFillColor rgb="FFFF0000"/>
              <x14:negativeBorderColor rgb="FFFF0000"/>
              <x14:axisColor rgb="FF000000"/>
            </x14:dataBar>
          </x14:cfRule>
          <xm:sqref>M1:M24 M51:M1048576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B11"/>
  <sheetViews>
    <sheetView showGridLines="0" tabSelected="1" zoomScale="63" zoomScaleNormal="63" workbookViewId="0">
      <selection activeCell="M5" sqref="M5"/>
    </sheetView>
  </sheetViews>
  <sheetFormatPr defaultColWidth="9.02654867256637" defaultRowHeight="14.25" outlineLevelCol="1"/>
  <cols>
    <col min="1" max="1" width="11.0973451327434"/>
    <col min="2" max="2" width="14.4867256637168"/>
    <col min="3" max="3" width="15.7345132743363" customWidth="1"/>
    <col min="4" max="4" width="15.9380530973451" customWidth="1"/>
    <col min="5" max="5" width="22.4336283185841" customWidth="1"/>
    <col min="7" max="7" width="13.0796460176991" customWidth="1"/>
    <col min="8" max="8" width="16.2654867256637" customWidth="1"/>
    <col min="9" max="9" width="17.1946902654867" customWidth="1"/>
  </cols>
  <sheetData>
    <row r="3" spans="2:2">
      <c r="B3" s="1"/>
    </row>
    <row r="4" spans="2:2">
      <c r="B4" s="1"/>
    </row>
    <row r="5" spans="2:2">
      <c r="B5" s="1"/>
    </row>
    <row r="6" spans="2:2">
      <c r="B6" s="1"/>
    </row>
    <row r="7" spans="2:2">
      <c r="B7" s="1"/>
    </row>
    <row r="8" spans="2:2">
      <c r="B8" s="1"/>
    </row>
    <row r="9" spans="2:2">
      <c r="B9" s="1"/>
    </row>
    <row r="10" spans="2:2">
      <c r="B10" s="1"/>
    </row>
    <row r="11" spans="2:2">
      <c r="B11" s="1"/>
    </row>
  </sheetData>
  <pageMargins left="0.75" right="0.75" top="1" bottom="1" header="0.5" footer="0.5"/>
  <headerFooter/>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2</vt:i4>
      </vt:variant>
    </vt:vector>
  </HeadingPairs>
  <TitlesOfParts>
    <vt:vector size="2" baseType="lpstr">
      <vt:lpstr>Task Management Tabular Data</vt:lpstr>
      <vt:lpstr>Task Management Dashboard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Rashi</dc:creator>
  <cp:lastModifiedBy>Rashi</cp:lastModifiedBy>
  <dcterms:created xsi:type="dcterms:W3CDTF">2026-06-05T22:11:00Z</dcterms:created>
  <dcterms:modified xsi:type="dcterms:W3CDTF">2026-10-20T22:41:20Z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FF40A6E4EC624E31B44B58226AB5E98F_11</vt:lpwstr>
  </property>
  <property fmtid="{D5CDD505-2E9C-101B-9397-08002B2CF9AE}" pid="3" name="KSOProductBuildVer">
    <vt:lpwstr>1033-12.1.0.29162</vt:lpwstr>
  </property>
  <property fmtid="{D5CDD505-2E9C-101B-9397-08002B2CF9AE}" pid="4" name="CalculationRule">
    <vt:i4>1</vt:i4>
  </property>
</Properties>
</file>